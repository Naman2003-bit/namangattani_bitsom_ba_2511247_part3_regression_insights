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"/>
    </mc:Choice>
  </mc:AlternateContent>
  <xr:revisionPtr revIDLastSave="1" documentId="8_{20FE819B-8424-450F-8AFF-F53A0FD4AD49}" xr6:coauthVersionLast="47" xr6:coauthVersionMax="47" xr10:uidLastSave="{3F0C3065-27E7-4265-9971-E474BDFA071F}"/>
  <bookViews>
    <workbookView xWindow="11424" yWindow="0" windowWidth="11712" windowHeight="12336" firstSheet="7" activeTab="7" xr2:uid="{5828B440-E3D2-4AD0-A744-0491E9F8C7A0}"/>
  </bookViews>
  <sheets>
    <sheet name="Original_Data" sheetId="1" r:id="rId1"/>
    <sheet name="Marketing_Regression" sheetId="8" r:id="rId2"/>
    <sheet name="Simple_Regression" sheetId="9" r:id="rId3"/>
    <sheet name="Cleaned_Data" sheetId="2" r:id="rId4"/>
    <sheet name="Dummy_Variables" sheetId="3" r:id="rId5"/>
    <sheet name="Multiple_Regression" sheetId="11" r:id="rId6"/>
    <sheet name="Regression_Input_Data" sheetId="5" r:id="rId7"/>
    <sheet name="Predictions_Residuals" sheetId="6" r:id="rId8"/>
  </sheets>
  <definedNames>
    <definedName name="_xlnm._FilterDatabase" localSheetId="3" hidden="1">Cleaned_Data!$A$1:$N$323</definedName>
    <definedName name="_xlnm._FilterDatabase" localSheetId="0" hidden="1">Original_Data!$A$1:$N$321</definedName>
    <definedName name="_xlnm._FilterDatabase" localSheetId="7" hidden="1">Predictions_Residuals!$A$4:$C$324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6" l="1"/>
  <c r="H20" i="6"/>
  <c r="H19" i="6"/>
  <c r="H18" i="6"/>
  <c r="H17" i="6"/>
  <c r="B32" i="6"/>
  <c r="B19" i="6"/>
  <c r="B12" i="6"/>
  <c r="B44" i="6"/>
  <c r="B104" i="6"/>
  <c r="B220" i="6"/>
  <c r="B311" i="6"/>
  <c r="B318" i="6"/>
  <c r="B152" i="6"/>
  <c r="B109" i="6"/>
  <c r="B302" i="6"/>
  <c r="B262" i="6"/>
  <c r="B36" i="6"/>
  <c r="B123" i="6"/>
  <c r="B229" i="6"/>
  <c r="B75" i="6"/>
  <c r="B61" i="6"/>
  <c r="B64" i="6"/>
  <c r="B86" i="6"/>
  <c r="B10" i="6"/>
  <c r="B98" i="6"/>
  <c r="B202" i="6"/>
  <c r="B159" i="6"/>
  <c r="B112" i="6"/>
  <c r="B11" i="6"/>
  <c r="B144" i="6"/>
  <c r="B194" i="6"/>
  <c r="B20" i="6"/>
  <c r="B195" i="6"/>
  <c r="B124" i="6"/>
  <c r="B21" i="6"/>
  <c r="B8" i="6"/>
  <c r="B30" i="6"/>
  <c r="B150" i="6"/>
  <c r="B68" i="6"/>
  <c r="B288" i="6"/>
  <c r="B69" i="6"/>
  <c r="B153" i="6"/>
  <c r="B189" i="6"/>
  <c r="B204" i="6"/>
  <c r="B230" i="6"/>
  <c r="B315" i="6"/>
  <c r="B236" i="6"/>
  <c r="B6" i="6"/>
  <c r="B45" i="6"/>
  <c r="B247" i="6"/>
  <c r="B188" i="6"/>
  <c r="B77" i="6"/>
  <c r="B190" i="6"/>
  <c r="B233" i="6"/>
  <c r="B265" i="6"/>
  <c r="B13" i="6"/>
  <c r="B231" i="6"/>
  <c r="B257" i="6"/>
  <c r="B51" i="6"/>
  <c r="B232" i="6"/>
  <c r="B174" i="6"/>
  <c r="B78" i="6"/>
  <c r="B74" i="6"/>
  <c r="B293" i="6"/>
  <c r="B275" i="6"/>
  <c r="B115" i="6"/>
  <c r="B272" i="6"/>
  <c r="B95" i="6"/>
  <c r="B97" i="6"/>
  <c r="B5" i="6"/>
  <c r="B187" i="6"/>
  <c r="B314" i="6"/>
  <c r="B113" i="6"/>
  <c r="B235" i="6"/>
  <c r="B285" i="6"/>
  <c r="B173" i="6"/>
  <c r="B25" i="6"/>
  <c r="B308" i="6"/>
  <c r="B48" i="6"/>
  <c r="B117" i="6"/>
  <c r="B268" i="6"/>
  <c r="B278" i="6"/>
  <c r="B66" i="6"/>
  <c r="B84" i="6"/>
  <c r="B286" i="6"/>
  <c r="B316" i="6"/>
  <c r="B222" i="6"/>
  <c r="B180" i="6"/>
  <c r="B62" i="6"/>
  <c r="B134" i="6"/>
  <c r="B120" i="6"/>
  <c r="B253" i="6"/>
  <c r="B7" i="6"/>
  <c r="B217" i="6"/>
  <c r="B246" i="6"/>
  <c r="B85" i="6"/>
  <c r="B271" i="6"/>
  <c r="B281" i="6"/>
  <c r="B80" i="6"/>
  <c r="B135" i="6"/>
  <c r="B306" i="6"/>
  <c r="B155" i="6"/>
  <c r="B228" i="6"/>
  <c r="B289" i="6"/>
  <c r="B70" i="6"/>
  <c r="B261" i="6"/>
  <c r="B323" i="6"/>
  <c r="B264" i="6"/>
  <c r="B172" i="6"/>
  <c r="B312" i="6"/>
  <c r="B175" i="6"/>
  <c r="B280" i="6"/>
  <c r="B234" i="6"/>
  <c r="B139" i="6"/>
  <c r="B324" i="6"/>
  <c r="B283" i="6"/>
  <c r="B277" i="6"/>
  <c r="B54" i="6"/>
  <c r="B79" i="6"/>
  <c r="B110" i="6"/>
  <c r="B305" i="6"/>
  <c r="B17" i="6"/>
  <c r="B92" i="6"/>
  <c r="B40" i="6"/>
  <c r="B266" i="6"/>
  <c r="B71" i="6"/>
  <c r="B26" i="6"/>
  <c r="B310" i="6"/>
  <c r="B91" i="6"/>
  <c r="B260" i="6"/>
  <c r="B106" i="6"/>
  <c r="B240" i="6"/>
  <c r="B171" i="6"/>
  <c r="B31" i="6"/>
  <c r="B122" i="6"/>
  <c r="B38" i="6"/>
  <c r="B37" i="6"/>
  <c r="B145" i="6"/>
  <c r="B93" i="6"/>
  <c r="B15" i="6"/>
  <c r="B224" i="6"/>
  <c r="B287" i="6"/>
  <c r="B183" i="6"/>
  <c r="B256" i="6"/>
  <c r="B210" i="6"/>
  <c r="B273" i="6"/>
  <c r="B206" i="6"/>
  <c r="B60" i="6"/>
  <c r="B73" i="6"/>
  <c r="B160" i="6"/>
  <c r="B168" i="6"/>
  <c r="B81" i="6"/>
  <c r="B179" i="6"/>
  <c r="B251" i="6"/>
  <c r="B221" i="6"/>
  <c r="B108" i="6"/>
  <c r="B199" i="6"/>
  <c r="B56" i="6"/>
  <c r="B170" i="6"/>
  <c r="B166" i="6"/>
  <c r="B105" i="6"/>
  <c r="B309" i="6"/>
  <c r="B299" i="6"/>
  <c r="B34" i="6"/>
  <c r="B304" i="6"/>
  <c r="B90" i="6"/>
  <c r="B111" i="6"/>
  <c r="B279" i="6"/>
  <c r="B103" i="6"/>
  <c r="B167" i="6"/>
  <c r="B198" i="6"/>
  <c r="B55" i="6"/>
  <c r="B18" i="6"/>
  <c r="B242" i="6"/>
  <c r="B118" i="6"/>
  <c r="B205" i="6"/>
  <c r="B87" i="6"/>
  <c r="B100" i="6"/>
  <c r="B126" i="6"/>
  <c r="B243" i="6"/>
  <c r="B307" i="6"/>
  <c r="B263" i="6"/>
  <c r="B298" i="6"/>
  <c r="B157" i="6"/>
  <c r="B151" i="6"/>
  <c r="B131" i="6"/>
  <c r="B140" i="6"/>
  <c r="B101" i="6"/>
  <c r="B215" i="6"/>
  <c r="B297" i="6"/>
  <c r="B178" i="6"/>
  <c r="B276" i="6"/>
  <c r="B223" i="6"/>
  <c r="B127" i="6"/>
  <c r="B46" i="6"/>
  <c r="B41" i="6"/>
  <c r="B119" i="6"/>
  <c r="B147" i="6"/>
  <c r="B14" i="6"/>
  <c r="B270" i="6"/>
  <c r="B53" i="6"/>
  <c r="B52" i="6"/>
  <c r="B303" i="6"/>
  <c r="B158" i="6"/>
  <c r="B322" i="6"/>
  <c r="B59" i="6"/>
  <c r="B125" i="6"/>
  <c r="B165" i="6"/>
  <c r="B301" i="6"/>
  <c r="B43" i="6"/>
  <c r="B29" i="6"/>
  <c r="B213" i="6"/>
  <c r="B24" i="6"/>
  <c r="B143" i="6"/>
  <c r="B148" i="6"/>
  <c r="B238" i="6"/>
  <c r="B245" i="6"/>
  <c r="B94" i="6"/>
  <c r="B137" i="6"/>
  <c r="B274" i="6"/>
  <c r="B186" i="6"/>
  <c r="B292" i="6"/>
  <c r="B219" i="6"/>
  <c r="B208" i="6"/>
  <c r="B192" i="6"/>
  <c r="B184" i="6"/>
  <c r="B83" i="6"/>
  <c r="B282" i="6"/>
  <c r="B237" i="6"/>
  <c r="B121" i="6"/>
  <c r="B258" i="6"/>
  <c r="B47" i="6"/>
  <c r="B291" i="6"/>
  <c r="B67" i="6"/>
  <c r="B252" i="6"/>
  <c r="B255" i="6"/>
  <c r="B300" i="6"/>
  <c r="B162" i="6"/>
  <c r="B149" i="6"/>
  <c r="B23" i="6"/>
  <c r="B130" i="6"/>
  <c r="B154" i="6"/>
  <c r="B196" i="6"/>
  <c r="B259" i="6"/>
  <c r="B249" i="6"/>
  <c r="B203" i="6"/>
  <c r="B209" i="6"/>
  <c r="B244" i="6"/>
  <c r="B218" i="6"/>
  <c r="B99" i="6"/>
  <c r="B169" i="6"/>
  <c r="B212" i="6"/>
  <c r="B146" i="6"/>
  <c r="B163" i="6"/>
  <c r="B216" i="6"/>
  <c r="B185" i="6"/>
  <c r="B320" i="6"/>
  <c r="B269" i="6"/>
  <c r="B72" i="6"/>
  <c r="B313" i="6"/>
  <c r="B200" i="6"/>
  <c r="B161" i="6"/>
  <c r="B290" i="6"/>
  <c r="B176" i="6"/>
  <c r="B156" i="6"/>
  <c r="B296" i="6"/>
  <c r="B226" i="6"/>
  <c r="B142" i="6"/>
  <c r="B254" i="6"/>
  <c r="B248" i="6"/>
  <c r="B284" i="6"/>
  <c r="B28" i="6"/>
  <c r="B295" i="6"/>
  <c r="B177" i="6"/>
  <c r="B33" i="6"/>
  <c r="B191" i="6"/>
  <c r="B267" i="6"/>
  <c r="B136" i="6"/>
  <c r="B319" i="6"/>
  <c r="B16" i="6"/>
  <c r="B225" i="6"/>
  <c r="B116" i="6"/>
  <c r="B82" i="6"/>
  <c r="B42" i="6"/>
  <c r="B63" i="6"/>
  <c r="B207" i="6"/>
  <c r="B128" i="6"/>
  <c r="B96" i="6"/>
  <c r="B107" i="6"/>
  <c r="B138" i="6"/>
  <c r="B76" i="6"/>
  <c r="B241" i="6"/>
  <c r="B65" i="6"/>
  <c r="B321" i="6"/>
  <c r="B129" i="6"/>
  <c r="B50" i="6"/>
  <c r="B181" i="6"/>
  <c r="B132" i="6"/>
  <c r="B201" i="6"/>
  <c r="B164" i="6"/>
  <c r="B317" i="6"/>
  <c r="B102" i="6"/>
  <c r="B22" i="6"/>
  <c r="B114" i="6"/>
  <c r="B182" i="6"/>
  <c r="B141" i="6"/>
  <c r="B294" i="6"/>
  <c r="B227" i="6"/>
  <c r="B9" i="6"/>
  <c r="B250" i="6"/>
  <c r="B27" i="6"/>
  <c r="B88" i="6"/>
  <c r="B39" i="6"/>
  <c r="B89" i="6"/>
  <c r="B193" i="6"/>
  <c r="B239" i="6"/>
  <c r="B49" i="6"/>
  <c r="B214" i="6"/>
  <c r="B211" i="6"/>
  <c r="B35" i="6"/>
  <c r="B197" i="6"/>
  <c r="B133" i="6"/>
  <c r="B58" i="6"/>
  <c r="B57" i="6"/>
  <c r="E324" i="5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4" i="3"/>
  <c r="K322" i="2"/>
  <c r="L322" i="2"/>
  <c r="J322" i="2"/>
  <c r="C56" i="6" l="1"/>
  <c r="C127" i="6"/>
  <c r="C119" i="6"/>
  <c r="C270" i="6"/>
  <c r="C303" i="6"/>
  <c r="C322" i="6"/>
  <c r="C125" i="6"/>
  <c r="C165" i="6"/>
  <c r="C301" i="6"/>
  <c r="C43" i="6"/>
  <c r="C29" i="6"/>
  <c r="C213" i="6"/>
  <c r="C24" i="6"/>
  <c r="C143" i="6"/>
  <c r="C148" i="6"/>
  <c r="C238" i="6"/>
  <c r="C245" i="6"/>
  <c r="C137" i="6"/>
  <c r="C274" i="6"/>
  <c r="C186" i="6"/>
  <c r="C292" i="6"/>
  <c r="C219" i="6"/>
  <c r="C208" i="6"/>
  <c r="C192" i="6"/>
  <c r="C184" i="6"/>
  <c r="C83" i="6"/>
  <c r="C252" i="6"/>
  <c r="C300" i="6"/>
  <c r="C154" i="6"/>
  <c r="C259" i="6"/>
  <c r="C203" i="6"/>
  <c r="C218" i="6"/>
  <c r="C212" i="6"/>
  <c r="C216" i="6"/>
  <c r="C320" i="6"/>
  <c r="C313" i="6"/>
  <c r="C156" i="6"/>
  <c r="C254" i="6"/>
  <c r="C248" i="6"/>
  <c r="C295" i="6"/>
  <c r="C267" i="6"/>
  <c r="C82" i="6"/>
  <c r="C42" i="6"/>
  <c r="C128" i="6"/>
  <c r="C96" i="6"/>
  <c r="C138" i="6"/>
  <c r="C129" i="6"/>
  <c r="C181" i="6"/>
  <c r="C201" i="6"/>
  <c r="C317" i="6"/>
  <c r="C182" i="6"/>
  <c r="C294" i="6"/>
  <c r="C88" i="6"/>
  <c r="C239" i="6"/>
  <c r="C211" i="6"/>
  <c r="C197" i="6"/>
  <c r="C262" i="6"/>
  <c r="C229" i="6"/>
  <c r="C64" i="6"/>
  <c r="C10" i="6"/>
  <c r="C98" i="6"/>
  <c r="C159" i="6"/>
  <c r="C11" i="6"/>
  <c r="C144" i="6"/>
  <c r="C20" i="6"/>
  <c r="C8" i="6"/>
  <c r="C30" i="6"/>
  <c r="C68" i="6"/>
  <c r="C69" i="6"/>
  <c r="C153" i="6"/>
  <c r="C204" i="6"/>
  <c r="C315" i="6"/>
  <c r="C45" i="6"/>
  <c r="C188" i="6"/>
  <c r="C190" i="6"/>
  <c r="C233" i="6"/>
  <c r="C13" i="6"/>
  <c r="C257" i="6"/>
  <c r="C232" i="6"/>
  <c r="C174" i="6"/>
  <c r="C74" i="6"/>
  <c r="C275" i="6"/>
  <c r="C115" i="6"/>
  <c r="C95" i="6"/>
  <c r="C97" i="6"/>
  <c r="C187" i="6"/>
  <c r="C113" i="6"/>
  <c r="C285" i="6"/>
  <c r="C308" i="6"/>
  <c r="C268" i="6"/>
  <c r="C66" i="6"/>
  <c r="C286" i="6"/>
  <c r="C222" i="6"/>
  <c r="C134" i="6"/>
  <c r="C253" i="6"/>
  <c r="C217" i="6"/>
  <c r="C85" i="6"/>
  <c r="C271" i="6"/>
  <c r="C280" i="6"/>
  <c r="C139" i="6"/>
  <c r="C324" i="6"/>
  <c r="C54" i="6"/>
  <c r="C110" i="6"/>
  <c r="C17" i="6"/>
  <c r="C92" i="6"/>
  <c r="C266" i="6"/>
  <c r="C71" i="6"/>
  <c r="C310" i="6"/>
  <c r="C91" i="6"/>
  <c r="C260" i="6"/>
  <c r="C240" i="6"/>
  <c r="C122" i="6"/>
  <c r="C37" i="6"/>
  <c r="C93" i="6"/>
  <c r="C15" i="6"/>
  <c r="C224" i="6"/>
  <c r="C183" i="6"/>
  <c r="C256" i="6"/>
  <c r="C210" i="6"/>
  <c r="C60" i="6"/>
  <c r="C160" i="6"/>
  <c r="C168" i="6"/>
  <c r="C81" i="6"/>
  <c r="C251" i="6"/>
  <c r="C199" i="6"/>
  <c r="C166" i="6"/>
  <c r="C299" i="6"/>
  <c r="C304" i="6"/>
  <c r="C279" i="6"/>
  <c r="C103" i="6"/>
  <c r="C198" i="6"/>
  <c r="C18" i="6"/>
  <c r="C118" i="6"/>
  <c r="C87" i="6"/>
  <c r="C243" i="6"/>
  <c r="C307" i="6"/>
  <c r="C263" i="6"/>
  <c r="C157" i="6"/>
  <c r="C151" i="6"/>
  <c r="C131" i="6"/>
  <c r="C297" i="6"/>
  <c r="C276" i="6"/>
  <c r="C282" i="6"/>
  <c r="C237" i="6"/>
  <c r="C121" i="6"/>
  <c r="C258" i="6"/>
  <c r="C47" i="6"/>
  <c r="C67" i="6"/>
  <c r="C130" i="6"/>
  <c r="C209" i="6"/>
  <c r="C169" i="6"/>
  <c r="C146" i="6"/>
  <c r="C185" i="6"/>
  <c r="C269" i="6"/>
  <c r="C200" i="6"/>
  <c r="C290" i="6"/>
  <c r="C296" i="6"/>
  <c r="C226" i="6"/>
  <c r="C284" i="6"/>
  <c r="C177" i="6"/>
  <c r="C33" i="6"/>
  <c r="C225" i="6"/>
  <c r="C63" i="6"/>
  <c r="C107" i="6"/>
  <c r="C76" i="6"/>
  <c r="C65" i="6"/>
  <c r="C50" i="6"/>
  <c r="C132" i="6"/>
  <c r="C164" i="6"/>
  <c r="C114" i="6"/>
  <c r="C227" i="6"/>
  <c r="C250" i="6"/>
  <c r="C27" i="6"/>
  <c r="C89" i="6"/>
  <c r="C214" i="6"/>
  <c r="C36" i="6"/>
  <c r="C123" i="6"/>
  <c r="C75" i="6"/>
  <c r="C61" i="6"/>
  <c r="C86" i="6"/>
  <c r="C202" i="6"/>
  <c r="C112" i="6"/>
  <c r="C194" i="6"/>
  <c r="C195" i="6"/>
  <c r="C124" i="6"/>
  <c r="C21" i="6"/>
  <c r="C150" i="6"/>
  <c r="C288" i="6"/>
  <c r="C189" i="6"/>
  <c r="C230" i="6"/>
  <c r="C236" i="6"/>
  <c r="C6" i="6"/>
  <c r="C247" i="6"/>
  <c r="C77" i="6"/>
  <c r="C265" i="6"/>
  <c r="C231" i="6"/>
  <c r="C51" i="6"/>
  <c r="C78" i="6"/>
  <c r="C293" i="6"/>
  <c r="C272" i="6"/>
  <c r="C5" i="6"/>
  <c r="C314" i="6"/>
  <c r="C235" i="6"/>
  <c r="C173" i="6"/>
  <c r="C25" i="6"/>
  <c r="C48" i="6"/>
  <c r="C117" i="6"/>
  <c r="C278" i="6"/>
  <c r="C84" i="6"/>
  <c r="C316" i="6"/>
  <c r="C180" i="6"/>
  <c r="C62" i="6"/>
  <c r="C120" i="6"/>
  <c r="C7" i="6"/>
  <c r="C246" i="6"/>
  <c r="C281" i="6"/>
  <c r="C234" i="6"/>
  <c r="C283" i="6"/>
  <c r="C277" i="6"/>
  <c r="C79" i="6"/>
  <c r="C305" i="6"/>
  <c r="C40" i="6"/>
  <c r="C26" i="6"/>
  <c r="C106" i="6"/>
  <c r="C171" i="6"/>
  <c r="C31" i="6"/>
  <c r="C38" i="6"/>
  <c r="C145" i="6"/>
  <c r="C287" i="6"/>
  <c r="C273" i="6"/>
  <c r="C206" i="6"/>
  <c r="C73" i="6"/>
  <c r="C179" i="6"/>
  <c r="C221" i="6"/>
  <c r="C108" i="6"/>
  <c r="C170" i="6"/>
  <c r="C105" i="6"/>
  <c r="C309" i="6"/>
  <c r="C34" i="6"/>
  <c r="C90" i="6"/>
  <c r="C111" i="6"/>
  <c r="C167" i="6"/>
  <c r="C55" i="6"/>
  <c r="C242" i="6"/>
  <c r="C205" i="6"/>
  <c r="C100" i="6"/>
  <c r="C126" i="6"/>
  <c r="C298" i="6"/>
  <c r="C140" i="6"/>
  <c r="C101" i="6"/>
  <c r="C215" i="6"/>
  <c r="C178" i="6"/>
  <c r="C223" i="6"/>
  <c r="C46" i="6"/>
  <c r="C41" i="6"/>
  <c r="C147" i="6"/>
  <c r="C14" i="6"/>
  <c r="C53" i="6"/>
  <c r="C52" i="6"/>
  <c r="C158" i="6"/>
  <c r="C59" i="6"/>
  <c r="C291" i="6"/>
  <c r="C255" i="6"/>
  <c r="C162" i="6"/>
  <c r="C149" i="6"/>
  <c r="C23" i="6"/>
  <c r="C196" i="6"/>
  <c r="C249" i="6"/>
  <c r="C244" i="6"/>
  <c r="C99" i="6"/>
  <c r="C163" i="6"/>
  <c r="C72" i="6"/>
  <c r="C161" i="6"/>
  <c r="C176" i="6"/>
  <c r="C142" i="6"/>
  <c r="C28" i="6"/>
  <c r="C191" i="6"/>
  <c r="C136" i="6"/>
  <c r="C319" i="6"/>
  <c r="C16" i="6"/>
  <c r="C116" i="6"/>
  <c r="C207" i="6"/>
  <c r="C241" i="6"/>
  <c r="C321" i="6"/>
  <c r="C102" i="6"/>
  <c r="C22" i="6"/>
  <c r="C141" i="6"/>
  <c r="C9" i="6"/>
  <c r="C39" i="6"/>
  <c r="C193" i="6"/>
  <c r="C49" i="6"/>
  <c r="C35" i="6"/>
  <c r="C133" i="6"/>
  <c r="C58" i="6"/>
  <c r="C57" i="6"/>
  <c r="C220" i="6"/>
  <c r="C94" i="6"/>
  <c r="C311" i="6"/>
  <c r="C32" i="6"/>
  <c r="C19" i="6"/>
  <c r="C12" i="6"/>
  <c r="C44" i="6"/>
  <c r="C104" i="6"/>
  <c r="C318" i="6"/>
  <c r="C302" i="6"/>
  <c r="C80" i="6"/>
  <c r="C306" i="6"/>
  <c r="C228" i="6"/>
  <c r="C289" i="6"/>
  <c r="C261" i="6"/>
  <c r="C264" i="6"/>
  <c r="C312" i="6"/>
  <c r="C175" i="6"/>
  <c r="C152" i="6"/>
  <c r="C109" i="6"/>
  <c r="C135" i="6"/>
  <c r="C155" i="6"/>
  <c r="C70" i="6"/>
  <c r="C323" i="6"/>
  <c r="C172" i="6"/>
</calcChain>
</file>

<file path=xl/sharedStrings.xml><?xml version="1.0" encoding="utf-8"?>
<sst xmlns="http://schemas.openxmlformats.org/spreadsheetml/2006/main" count="2390" uniqueCount="147">
  <si>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</si>
  <si>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</si>
  <si>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</si>
  <si>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</si>
  <si>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</si>
  <si>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</si>
  <si>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</si>
  <si>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</si>
  <si>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</si>
  <si>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</si>
  <si>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</si>
  <si>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</si>
  <si>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</si>
  <si>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</si>
  <si>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</si>
  <si>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</si>
  <si>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</si>
  <si>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</si>
  <si>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</si>
  <si>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</si>
  <si>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</si>
  <si>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</si>
  <si>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</si>
  <si>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</si>
  <si>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</si>
  <si>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</si>
  <si>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</si>
  <si>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</si>
  <si>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</si>
  <si>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</si>
  <si>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</si>
  <si>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</si>
  <si>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</si>
  <si>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</si>
  <si>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</si>
  <si>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</si>
  <si>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</si>
  <si>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</si>
  <si>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</si>
  <si>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</si>
  <si>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</si>
  <si>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</si>
  <si>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</si>
  <si>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</si>
  <si>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</si>
  <si>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</si>
  <si>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</si>
  <si>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</si>
  <si>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</si>
  <si>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</si>
  <si>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</si>
  <si>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</si>
  <si>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</si>
  <si>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</si>
  <si>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</si>
  <si>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</si>
  <si>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</si>
  <si>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</si>
  <si>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</si>
  <si>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</si>
  <si>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</si>
  <si>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</si>
  <si>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</si>
  <si>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</si>
  <si>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</si>
  <si>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</si>
  <si>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</si>
  <si>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</si>
  <si>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</si>
  <si>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</si>
  <si>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</si>
  <si>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</si>
  <si>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</si>
  <si>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</si>
  <si>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</si>
  <si>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</si>
  <si>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</si>
  <si>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</si>
  <si>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</si>
  <si>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</si>
  <si>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</si>
  <si>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</si>
  <si>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</si>
  <si>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</si>
  <si>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</si>
  <si>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</si>
  <si>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</si>
  <si>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</si>
  <si>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</si>
  <si>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</si>
  <si>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</si>
  <si>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</si>
  <si>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</si>
  <si>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</si>
  <si>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</si>
  <si>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</si>
  <si>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</si>
  <si>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</si>
  <si>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</si>
  <si>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</si>
  <si>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</si>
  <si>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</si>
  <si>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</si>
  <si>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</si>
  <si>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Region_East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</si>
  <si>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</si>
  <si>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</si>
  <si>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</si>
  <si>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</si>
  <si>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</si>
  <si>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</si>
  <si>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</si>
  <si>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</si>
  <si>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</si>
  <si>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</si>
  <si>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</si>
  <si>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</si>
  <si>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</si>
  <si>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</si>
  <si>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</si>
  <si>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</si>
  <si>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</si>
  <si>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</si>
  <si>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</si>
  <si>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</si>
  <si>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</si>
  <si>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</si>
  <si>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</si>
  <si>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</si>
  <si>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Actual_Sales</t>
  </si>
  <si>
    <t>Predicted_Sales</t>
  </si>
  <si>
    <t>SIMPLE REGRESSION ANALYSIS - MARKETING SPEND VS MONTHLY SALES</t>
  </si>
  <si>
    <r>
      <rPr>
        <b/>
        <sz val="14"/>
        <color theme="1"/>
        <rFont val="Calibri"/>
        <family val="2"/>
        <scheme val="minor"/>
      </rPr>
      <t>Key Findings:</t>
    </r>
    <r>
      <rPr>
        <sz val="11"/>
        <color theme="1"/>
        <rFont val="Calibri"/>
        <family val="2"/>
        <scheme val="minor"/>
      </rPr>
      <t xml:space="preserve">
• Marketing Spend has a positive relationship with Monthly Sales.
• Coefficient = 2.13, indicating higher marketing investment is associated with higher sales.
• P-value is below 0.05, showing statistical significance.
• R² = 0.167, meaning Marketing Spend explains approximately 16.7% of sales variation.
• Marketing Spend is useful but not sufficient alone to explain store sales performance.</t>
    </r>
  </si>
  <si>
    <t>SIMPLE REGRESSION ANALYSIS - FOOTFALL VS MONTHLY SALES</t>
  </si>
  <si>
    <r>
      <rPr>
        <b/>
        <sz val="11"/>
        <color theme="1"/>
        <rFont val="Calibri"/>
        <family val="2"/>
        <scheme val="minor"/>
      </rPr>
      <t>Key Findings:</t>
    </r>
    <r>
      <rPr>
        <sz val="11"/>
        <color theme="1"/>
        <rFont val="Calibri"/>
        <family val="2"/>
        <scheme val="minor"/>
      </rPr>
      <t xml:space="preserve">
• Footfall is strongly associated with Monthly Sales.
• Coefficient = 35.68 indicates each additional customer visit increases expected sales.
• P-value is effectively zero, showing strong statistical significance.
• R² = 0.736, meaning Footfall explains approximately 73.6% of sales variation.
• Footfall is a stronger predictor than Marketing Spend.</t>
    </r>
  </si>
  <si>
    <t>REGION DUMMY VARIABLE CREATION</t>
  </si>
  <si>
    <t>Reference Category: West
Dummy Variables Created:
• Region_North
• Region_South
• Region_East
When all dummy variables = 0, the store belongs to the West region.
This approach avoids the dummy variable trap.</t>
  </si>
  <si>
    <t>MULTIPLE REGRESSION INPUT DATASET</t>
  </si>
  <si>
    <t>This dataset was prepared for multiple regression analysis.
It includes numerical predictors and region dummy variables used in the final model.</t>
  </si>
  <si>
    <t>MULTIPLE REGRESSION ANALYSIS - MONTHLY SALES MODEL</t>
  </si>
  <si>
    <r>
      <rPr>
        <b/>
        <sz val="14"/>
        <color theme="1"/>
        <rFont val="Calibri"/>
        <family val="2"/>
        <scheme val="minor"/>
      </rPr>
      <t>Key Findings:</t>
    </r>
    <r>
      <rPr>
        <sz val="11"/>
        <color theme="1"/>
        <rFont val="Calibri"/>
        <family val="2"/>
        <scheme val="minor"/>
      </rPr>
      <t xml:space="preserve">
• Multiple Regression achieved the highest explanatory power (R² = 0.814).
• Footfall is the strongest predictor of Monthly Sales.
• Marketing Spend and Customer Rating positively influence sales.
• Region_East shows significantly lower sales compared to the reference region.
• Inventory Availability, Region_North, and Region_South are not statistically significant.
• This model was selected as the final business recommendation model.</t>
    </r>
  </si>
  <si>
    <t>PREDICTED SALES AND RESIDUAL ANALYSIS</t>
  </si>
  <si>
    <t>Actual Sales</t>
  </si>
  <si>
    <t>Predicted Sales</t>
  </si>
  <si>
    <t>TOP 5 POSITIVE RESIDUALS</t>
  </si>
  <si>
    <t>TOP 5 NEGATIVE RESIDUALS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</si>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</sst>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rgb="FFF8F8F8"/>
      <name val="Carlito"/>
    </font>
    <font>
      <b/>
      <sz val="11"/>
      <color rgb="FFF8F8F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8F8F8"/>
      <name val="Calibri"/>
      <family val="2"/>
      <scheme val="minor"/>
    </font>
    <font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365F91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0" fontId="4" fillId="5" borderId="0" xfId="0" applyFont="1" applyFill="1"/>
    <xf numFmtId="0" fontId="6" fillId="0" borderId="0" xfId="0" applyFont="1"/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6" borderId="0" xfId="0" applyFont="1" applyFill="1" applyBorder="1" applyAlignment="1"/>
    <xf numFmtId="0" fontId="0" fillId="6" borderId="1" xfId="0" applyFill="1" applyBorder="1" applyAlignment="1"/>
    <xf numFmtId="0" fontId="1" fillId="6" borderId="1" xfId="0" applyFont="1" applyFill="1" applyBorder="1" applyAlignment="1"/>
    <xf numFmtId="0" fontId="0" fillId="7" borderId="0" xfId="0" applyFill="1" applyAlignment="1">
      <alignment horizontal="center" wrapText="1"/>
    </xf>
    <xf numFmtId="0" fontId="0" fillId="7" borderId="0" xfId="0" applyFill="1" applyAlignment="1">
      <alignment horizontal="center"/>
    </xf>
    <xf numFmtId="0" fontId="8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 wrapText="1"/>
    </xf>
    <xf numFmtId="0" fontId="4" fillId="8" borderId="0" xfId="0" applyFont="1" applyFill="1"/>
    <xf numFmtId="0" fontId="0" fillId="7" borderId="3" xfId="0" applyFill="1" applyBorder="1" applyAlignment="1">
      <alignment horizontal="center" wrapText="1"/>
    </xf>
    <xf numFmtId="0" fontId="0" fillId="7" borderId="3" xfId="0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10" borderId="0" xfId="0" applyFont="1" applyFill="1"/>
    <xf numFmtId="0" fontId="9" fillId="4" borderId="0" xfId="0" applyFont="1" applyFill="1" applyAlignment="1">
      <alignment horizontal="center"/>
    </xf>
    <xf numFmtId="0" fontId="0" fillId="11" borderId="0" xfId="0" applyFill="1" applyBorder="1" applyAlignment="1"/>
    <xf numFmtId="0" fontId="8" fillId="4" borderId="0" xfId="0" applyFont="1" applyFill="1" applyAlignment="1">
      <alignment horizontal="center" wrapText="1"/>
    </xf>
    <xf numFmtId="0" fontId="9" fillId="4" borderId="0" xfId="0" applyFont="1" applyFill="1" applyAlignment="1">
      <alignment horizontal="center" wrapText="1"/>
    </xf>
    <xf numFmtId="0" fontId="0" fillId="6" borderId="0" xfId="0" applyFill="1"/>
    <xf numFmtId="0" fontId="0" fillId="12" borderId="0" xfId="0" applyFill="1"/>
    <xf numFmtId="0" fontId="0" fillId="0" borderId="3" xfId="0" applyBorder="1"/>
    <xf numFmtId="0" fontId="6" fillId="0" borderId="3" xfId="0" applyFont="1" applyBorder="1"/>
    <xf numFmtId="0" fontId="0" fillId="0" borderId="0" xfId="0" applyBorder="1"/>
    <xf numFmtId="0" fontId="0" fillId="14" borderId="0" xfId="0" applyFill="1" applyBorder="1" applyAlignment="1"/>
    <xf numFmtId="0" fontId="0" fillId="13" borderId="3" xfId="0" applyFill="1" applyBorder="1" applyAlignment="1">
      <alignment horizontal="center" wrapText="1"/>
    </xf>
    <xf numFmtId="0" fontId="4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6" fillId="9" borderId="3" xfId="0" applyFont="1" applyFill="1" applyBorder="1"/>
    <xf numFmtId="0" fontId="0" fillId="14" borderId="3" xfId="0" applyFill="1" applyBorder="1"/>
    <xf numFmtId="0" fontId="1" fillId="7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C9B3-2F44-436A-80DF-BDD64BAD2F33}">
  <dimension ref="A1:N321"/>
  <sheetViews>
    <sheetView topLeftCell="A285" workbookViewId="0">
      <selection activeCell="C1" sqref="A1:N321"/>
    </sheetView>
  </sheetViews>
  <sheetFormatPr defaultRowHeight="14.4"/>
  <cols>
    <col min="2" max="2" width="7.6640625" bestFit="1" customWidth="1"/>
    <col min="3" max="3" width="7.21875" bestFit="1" customWidth="1"/>
    <col min="4" max="4" width="9.88671875" bestFit="1" customWidth="1"/>
    <col min="5" max="5" width="10" bestFit="1" customWidth="1"/>
    <col min="6" max="6" width="7.6640625" bestFit="1" customWidth="1"/>
    <col min="7" max="7" width="8.77734375" bestFit="1" customWidth="1"/>
    <col min="8" max="9" width="8.6640625" bestFit="1" customWidth="1"/>
    <col min="11" max="11" width="8.109375" bestFit="1" customWidth="1"/>
    <col min="12" max="12" width="8.44140625" bestFit="1" customWidth="1"/>
    <col min="13" max="14" width="10" bestFit="1" customWidth="1"/>
  </cols>
  <sheetData>
    <row r="1" spans="1:14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1" xr:uid="{B0B4C9B3-2F44-436A-80DF-BDD64BAD2F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D8C9-BC33-4ACE-BCAB-27CC9DE3C6D5}">
  <dimension ref="A1:I30"/>
  <sheetViews>
    <sheetView zoomScale="80" zoomScaleNormal="80" workbookViewId="0">
      <selection activeCell="A22" sqref="A22:I30"/>
    </sheetView>
  </sheetViews>
  <sheetFormatPr defaultRowHeight="14.4"/>
  <cols>
    <col min="1" max="1" width="17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>
      <c r="A1" s="9" t="s">
        <v>131</v>
      </c>
      <c r="B1" s="10"/>
      <c r="C1" s="10"/>
      <c r="D1" s="10"/>
      <c r="E1" s="10"/>
      <c r="F1" s="10"/>
      <c r="G1" s="10"/>
      <c r="H1" s="10"/>
      <c r="I1" s="10"/>
    </row>
    <row r="3" spans="1:9">
      <c r="A3" t="s">
        <v>105</v>
      </c>
    </row>
    <row r="4" spans="1:9" ht="15" thickBot="1"/>
    <row r="5" spans="1:9">
      <c r="A5" s="6" t="s">
        <v>106</v>
      </c>
      <c r="B5" s="6"/>
    </row>
    <row r="6" spans="1:9">
      <c r="A6" s="3" t="s">
        <v>107</v>
      </c>
      <c r="B6" s="3">
        <v>0.40895561021322352</v>
      </c>
    </row>
    <row r="7" spans="1:9">
      <c r="A7" s="11" t="s">
        <v>108</v>
      </c>
      <c r="B7" s="11">
        <v>0.16724469112487</v>
      </c>
    </row>
    <row r="8" spans="1:9">
      <c r="A8" s="3" t="s">
        <v>109</v>
      </c>
      <c r="B8" s="3">
        <v>0.16462596373847024</v>
      </c>
    </row>
    <row r="9" spans="1:9">
      <c r="A9" s="3" t="s">
        <v>110</v>
      </c>
      <c r="B9" s="3">
        <v>94846.03383215853</v>
      </c>
    </row>
    <row r="10" spans="1:9" ht="15" thickBot="1">
      <c r="A10" s="4" t="s">
        <v>111</v>
      </c>
      <c r="B10" s="4">
        <v>320</v>
      </c>
    </row>
    <row r="12" spans="1:9" ht="15" thickBot="1">
      <c r="A12" t="s">
        <v>112</v>
      </c>
    </row>
    <row r="13" spans="1:9">
      <c r="A13" s="5"/>
      <c r="B13" s="5" t="s">
        <v>117</v>
      </c>
      <c r="C13" s="5" t="s">
        <v>118</v>
      </c>
      <c r="D13" s="5" t="s">
        <v>119</v>
      </c>
      <c r="E13" s="5" t="s">
        <v>120</v>
      </c>
      <c r="F13" s="5" t="s">
        <v>121</v>
      </c>
    </row>
    <row r="14" spans="1:9">
      <c r="A14" s="3" t="s">
        <v>113</v>
      </c>
      <c r="B14" s="3">
        <v>1</v>
      </c>
      <c r="C14" s="3">
        <v>574513714277.01416</v>
      </c>
      <c r="D14" s="3">
        <v>574513714277.01416</v>
      </c>
      <c r="E14" s="3">
        <v>63.864872683367629</v>
      </c>
      <c r="F14" s="3">
        <v>2.4800615101359619E-14</v>
      </c>
    </row>
    <row r="15" spans="1:9">
      <c r="A15" s="3" t="s">
        <v>114</v>
      </c>
      <c r="B15" s="3">
        <v>318</v>
      </c>
      <c r="C15" s="3">
        <v>2860654902513.7251</v>
      </c>
      <c r="D15" s="3">
        <v>8995770133.6909599</v>
      </c>
      <c r="E15" s="3"/>
      <c r="F15" s="3"/>
    </row>
    <row r="16" spans="1:9" ht="15" thickBot="1">
      <c r="A16" s="4" t="s">
        <v>115</v>
      </c>
      <c r="B16" s="4">
        <v>319</v>
      </c>
      <c r="C16" s="4">
        <v>3435168616790.7393</v>
      </c>
      <c r="D16" s="4"/>
      <c r="E16" s="4"/>
      <c r="F16" s="4"/>
    </row>
    <row r="17" spans="1:9" ht="15" thickBot="1"/>
    <row r="18" spans="1:9">
      <c r="A18" s="5"/>
      <c r="B18" s="5" t="s">
        <v>122</v>
      </c>
      <c r="C18" s="5" t="s">
        <v>110</v>
      </c>
      <c r="D18" s="5" t="s">
        <v>123</v>
      </c>
      <c r="E18" s="5" t="s">
        <v>124</v>
      </c>
      <c r="F18" s="5" t="s">
        <v>125</v>
      </c>
      <c r="G18" s="5" t="s">
        <v>126</v>
      </c>
      <c r="H18" s="5" t="s">
        <v>127</v>
      </c>
      <c r="I18" s="5" t="s">
        <v>128</v>
      </c>
    </row>
    <row r="19" spans="1:9">
      <c r="A19" s="3" t="s">
        <v>116</v>
      </c>
      <c r="B19" s="3">
        <v>560777.34544943704</v>
      </c>
      <c r="C19" s="3">
        <v>15906.905953068674</v>
      </c>
      <c r="D19" s="3">
        <v>35.253703460870398</v>
      </c>
      <c r="E19" s="3">
        <v>6.952876876284135E-112</v>
      </c>
      <c r="F19" s="3">
        <v>529481.27234763221</v>
      </c>
      <c r="G19" s="3">
        <v>592073.41855124186</v>
      </c>
      <c r="H19" s="3">
        <v>529481.27234763221</v>
      </c>
      <c r="I19" s="3">
        <v>592073.41855124186</v>
      </c>
    </row>
    <row r="20" spans="1:9" ht="15" thickBot="1">
      <c r="A20" s="4" t="s">
        <v>4</v>
      </c>
      <c r="B20" s="12">
        <v>2.1295753275898281</v>
      </c>
      <c r="C20" s="4">
        <v>0.26647838106932348</v>
      </c>
      <c r="D20" s="4">
        <v>7.991550080138869</v>
      </c>
      <c r="E20" s="13">
        <v>2.4800615101360068E-14</v>
      </c>
      <c r="F20" s="4">
        <v>1.6052919176921738</v>
      </c>
      <c r="G20" s="4">
        <v>2.6538587374874822</v>
      </c>
      <c r="H20" s="4">
        <v>1.6052919176921738</v>
      </c>
      <c r="I20" s="4">
        <v>2.6538587374874822</v>
      </c>
    </row>
    <row r="22" spans="1:9">
      <c r="A22" s="14" t="s">
        <v>132</v>
      </c>
      <c r="B22" s="15"/>
      <c r="C22" s="15"/>
      <c r="D22" s="15"/>
      <c r="E22" s="15"/>
      <c r="F22" s="15"/>
      <c r="G22" s="15"/>
      <c r="H22" s="15"/>
      <c r="I22" s="15"/>
    </row>
    <row r="23" spans="1:9">
      <c r="A23" s="15"/>
      <c r="B23" s="15"/>
      <c r="C23" s="15"/>
      <c r="D23" s="15"/>
      <c r="E23" s="15"/>
      <c r="F23" s="15"/>
      <c r="G23" s="15"/>
      <c r="H23" s="15"/>
      <c r="I23" s="15"/>
    </row>
    <row r="24" spans="1:9">
      <c r="A24" s="15"/>
      <c r="B24" s="15"/>
      <c r="C24" s="15"/>
      <c r="D24" s="15"/>
      <c r="E24" s="15"/>
      <c r="F24" s="15"/>
      <c r="G24" s="15"/>
      <c r="H24" s="15"/>
      <c r="I24" s="15"/>
    </row>
    <row r="25" spans="1:9">
      <c r="A25" s="15"/>
      <c r="B25" s="15"/>
      <c r="C25" s="15"/>
      <c r="D25" s="15"/>
      <c r="E25" s="15"/>
      <c r="F25" s="15"/>
      <c r="G25" s="15"/>
      <c r="H25" s="15"/>
      <c r="I25" s="15"/>
    </row>
    <row r="26" spans="1:9">
      <c r="A26" s="15"/>
      <c r="B26" s="15"/>
      <c r="C26" s="15"/>
      <c r="D26" s="15"/>
      <c r="E26" s="15"/>
      <c r="F26" s="15"/>
      <c r="G26" s="15"/>
      <c r="H26" s="15"/>
      <c r="I26" s="15"/>
    </row>
    <row r="27" spans="1:9">
      <c r="A27" s="15"/>
      <c r="B27" s="15"/>
      <c r="C27" s="15"/>
      <c r="D27" s="15"/>
      <c r="E27" s="15"/>
      <c r="F27" s="15"/>
      <c r="G27" s="15"/>
      <c r="H27" s="15"/>
      <c r="I27" s="15"/>
    </row>
    <row r="28" spans="1:9">
      <c r="A28" s="15"/>
      <c r="B28" s="15"/>
      <c r="C28" s="15"/>
      <c r="D28" s="15"/>
      <c r="E28" s="15"/>
      <c r="F28" s="15"/>
      <c r="G28" s="15"/>
      <c r="H28" s="15"/>
      <c r="I28" s="15"/>
    </row>
    <row r="29" spans="1:9">
      <c r="A29" s="15"/>
      <c r="B29" s="15"/>
      <c r="C29" s="15"/>
      <c r="D29" s="15"/>
      <c r="E29" s="15"/>
      <c r="F29" s="15"/>
      <c r="G29" s="15"/>
      <c r="H29" s="15"/>
      <c r="I29" s="15"/>
    </row>
    <row r="30" spans="1:9">
      <c r="A30" s="15"/>
      <c r="B30" s="15"/>
      <c r="C30" s="15"/>
      <c r="D30" s="15"/>
      <c r="E30" s="15"/>
      <c r="F30" s="15"/>
      <c r="G30" s="15"/>
      <c r="H30" s="15"/>
      <c r="I30" s="15"/>
    </row>
  </sheetData>
  <mergeCells count="2">
    <mergeCell ref="A1:I1"/>
    <mergeCell ref="A22:I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8E20-A6EF-41BC-837B-3EA826B28721}">
  <dimension ref="A1:I32"/>
  <sheetViews>
    <sheetView zoomScale="72" workbookViewId="0">
      <selection activeCell="D34" sqref="D34"/>
    </sheetView>
  </sheetViews>
  <sheetFormatPr defaultRowHeight="14.4"/>
  <cols>
    <col min="1" max="1" width="17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>
      <c r="A1" s="9" t="s">
        <v>133</v>
      </c>
      <c r="B1" s="10"/>
      <c r="C1" s="10"/>
      <c r="D1" s="10"/>
      <c r="E1" s="10"/>
      <c r="F1" s="10"/>
      <c r="G1" s="10"/>
      <c r="H1" s="10"/>
      <c r="I1" s="10"/>
    </row>
    <row r="3" spans="1:9">
      <c r="A3" t="s">
        <v>105</v>
      </c>
    </row>
    <row r="4" spans="1:9" ht="15" thickBot="1"/>
    <row r="5" spans="1:9">
      <c r="A5" s="6" t="s">
        <v>106</v>
      </c>
      <c r="B5" s="6"/>
    </row>
    <row r="6" spans="1:9">
      <c r="A6" s="3" t="s">
        <v>107</v>
      </c>
      <c r="B6" s="3">
        <v>0.85807070804410468</v>
      </c>
    </row>
    <row r="7" spans="1:9">
      <c r="A7" s="11" t="s">
        <v>108</v>
      </c>
      <c r="B7" s="11">
        <v>0.73628534000331114</v>
      </c>
    </row>
    <row r="8" spans="1:9">
      <c r="A8" s="3" t="s">
        <v>109</v>
      </c>
      <c r="B8" s="3">
        <v>0.73545604861967373</v>
      </c>
    </row>
    <row r="9" spans="1:9">
      <c r="A9" s="3" t="s">
        <v>110</v>
      </c>
      <c r="B9" s="3">
        <v>53373.736380790499</v>
      </c>
    </row>
    <row r="10" spans="1:9" ht="15" thickBot="1">
      <c r="A10" s="4" t="s">
        <v>111</v>
      </c>
      <c r="B10" s="4">
        <v>320</v>
      </c>
    </row>
    <row r="12" spans="1:9" ht="15" thickBot="1">
      <c r="A12" t="s">
        <v>112</v>
      </c>
    </row>
    <row r="13" spans="1:9">
      <c r="A13" s="5"/>
      <c r="B13" s="5" t="s">
        <v>117</v>
      </c>
      <c r="C13" s="5" t="s">
        <v>118</v>
      </c>
      <c r="D13" s="5" t="s">
        <v>119</v>
      </c>
      <c r="E13" s="5" t="s">
        <v>120</v>
      </c>
      <c r="F13" s="5" t="s">
        <v>121</v>
      </c>
    </row>
    <row r="14" spans="1:9">
      <c r="A14" s="3" t="s">
        <v>113</v>
      </c>
      <c r="B14" s="3">
        <v>1</v>
      </c>
      <c r="C14" s="3">
        <v>2529264292982.4736</v>
      </c>
      <c r="D14" s="3">
        <v>2529264292982.4736</v>
      </c>
      <c r="E14" s="3">
        <v>887.84877611276033</v>
      </c>
      <c r="F14" s="3">
        <v>4.7503615090053331E-94</v>
      </c>
    </row>
    <row r="15" spans="1:9">
      <c r="A15" s="3" t="s">
        <v>114</v>
      </c>
      <c r="B15" s="3">
        <v>318</v>
      </c>
      <c r="C15" s="3">
        <v>905904323808.26587</v>
      </c>
      <c r="D15" s="3">
        <v>2848755735.246119</v>
      </c>
      <c r="E15" s="3"/>
      <c r="F15" s="3"/>
    </row>
    <row r="16" spans="1:9" ht="15" thickBot="1">
      <c r="A16" s="4" t="s">
        <v>115</v>
      </c>
      <c r="B16" s="4">
        <v>319</v>
      </c>
      <c r="C16" s="4">
        <v>3435168616790.7393</v>
      </c>
      <c r="D16" s="4"/>
      <c r="E16" s="4"/>
      <c r="F16" s="4"/>
    </row>
    <row r="17" spans="1:9" ht="15" thickBot="1"/>
    <row r="18" spans="1:9">
      <c r="A18" s="5"/>
      <c r="B18" s="5" t="s">
        <v>122</v>
      </c>
      <c r="C18" s="5" t="s">
        <v>110</v>
      </c>
      <c r="D18" s="5" t="s">
        <v>123</v>
      </c>
      <c r="E18" s="5" t="s">
        <v>124</v>
      </c>
      <c r="F18" s="5" t="s">
        <v>125</v>
      </c>
      <c r="G18" s="5" t="s">
        <v>126</v>
      </c>
      <c r="H18" s="5" t="s">
        <v>127</v>
      </c>
      <c r="I18" s="5" t="s">
        <v>128</v>
      </c>
    </row>
    <row r="19" spans="1:9">
      <c r="A19" s="3" t="s">
        <v>116</v>
      </c>
      <c r="B19" s="3">
        <v>446410.58293395344</v>
      </c>
      <c r="C19" s="3">
        <v>8407.7382630059928</v>
      </c>
      <c r="D19" s="3">
        <v>53.095204556754318</v>
      </c>
      <c r="E19" s="3">
        <v>4.0862695711507226E-160</v>
      </c>
      <c r="F19" s="3">
        <v>429868.76191129786</v>
      </c>
      <c r="G19" s="3">
        <v>462952.40395660902</v>
      </c>
      <c r="H19" s="3">
        <v>429868.76191129786</v>
      </c>
      <c r="I19" s="3">
        <v>462952.40395660902</v>
      </c>
    </row>
    <row r="20" spans="1:9" ht="15" thickBot="1">
      <c r="A20" s="4" t="s">
        <v>5</v>
      </c>
      <c r="B20" s="13">
        <v>35.678031072640458</v>
      </c>
      <c r="C20" s="4">
        <v>1.1973782890340821</v>
      </c>
      <c r="D20" s="4">
        <v>29.796791372776362</v>
      </c>
      <c r="E20" s="13">
        <v>4.7503615090054677E-94</v>
      </c>
      <c r="F20" s="4">
        <v>33.322246825554025</v>
      </c>
      <c r="G20" s="4">
        <v>38.033815319726891</v>
      </c>
      <c r="H20" s="4">
        <v>33.322246825554025</v>
      </c>
      <c r="I20" s="4">
        <v>38.033815319726891</v>
      </c>
    </row>
    <row r="22" spans="1:9">
      <c r="A22" s="14" t="s">
        <v>134</v>
      </c>
      <c r="B22" s="15"/>
      <c r="C22" s="15"/>
      <c r="D22" s="15"/>
      <c r="E22" s="15"/>
      <c r="F22" s="15"/>
      <c r="G22" s="15"/>
      <c r="H22" s="15"/>
      <c r="I22" s="15"/>
    </row>
    <row r="23" spans="1:9">
      <c r="A23" s="15"/>
      <c r="B23" s="15"/>
      <c r="C23" s="15"/>
      <c r="D23" s="15"/>
      <c r="E23" s="15"/>
      <c r="F23" s="15"/>
      <c r="G23" s="15"/>
      <c r="H23" s="15"/>
      <c r="I23" s="15"/>
    </row>
    <row r="24" spans="1:9">
      <c r="A24" s="15"/>
      <c r="B24" s="15"/>
      <c r="C24" s="15"/>
      <c r="D24" s="15"/>
      <c r="E24" s="15"/>
      <c r="F24" s="15"/>
      <c r="G24" s="15"/>
      <c r="H24" s="15"/>
      <c r="I24" s="15"/>
    </row>
    <row r="25" spans="1:9">
      <c r="A25" s="15"/>
      <c r="B25" s="15"/>
      <c r="C25" s="15"/>
      <c r="D25" s="15"/>
      <c r="E25" s="15"/>
      <c r="F25" s="15"/>
      <c r="G25" s="15"/>
      <c r="H25" s="15"/>
      <c r="I25" s="15"/>
    </row>
    <row r="26" spans="1:9">
      <c r="A26" s="15"/>
      <c r="B26" s="15"/>
      <c r="C26" s="15"/>
      <c r="D26" s="15"/>
      <c r="E26" s="15"/>
      <c r="F26" s="15"/>
      <c r="G26" s="15"/>
      <c r="H26" s="15"/>
      <c r="I26" s="15"/>
    </row>
    <row r="27" spans="1:9">
      <c r="A27" s="15"/>
      <c r="B27" s="15"/>
      <c r="C27" s="15"/>
      <c r="D27" s="15"/>
      <c r="E27" s="15"/>
      <c r="F27" s="15"/>
      <c r="G27" s="15"/>
      <c r="H27" s="15"/>
      <c r="I27" s="15"/>
    </row>
    <row r="28" spans="1:9">
      <c r="A28" s="15"/>
      <c r="B28" s="15"/>
      <c r="C28" s="15"/>
      <c r="D28" s="15"/>
      <c r="E28" s="15"/>
      <c r="F28" s="15"/>
      <c r="G28" s="15"/>
      <c r="H28" s="15"/>
      <c r="I28" s="15"/>
    </row>
    <row r="29" spans="1:9">
      <c r="A29" s="15"/>
      <c r="B29" s="15"/>
      <c r="C29" s="15"/>
      <c r="D29" s="15"/>
      <c r="E29" s="15"/>
      <c r="F29" s="15"/>
      <c r="G29" s="15"/>
      <c r="H29" s="15"/>
      <c r="I29" s="15"/>
    </row>
    <row r="30" spans="1:9">
      <c r="A30" s="15"/>
      <c r="B30" s="15"/>
      <c r="C30" s="15"/>
      <c r="D30" s="15"/>
      <c r="E30" s="15"/>
      <c r="F30" s="15"/>
      <c r="G30" s="15"/>
      <c r="H30" s="15"/>
      <c r="I30" s="15"/>
    </row>
    <row r="31" spans="1:9">
      <c r="A31" s="15"/>
      <c r="B31" s="15"/>
      <c r="C31" s="15"/>
      <c r="D31" s="15"/>
      <c r="E31" s="15"/>
      <c r="F31" s="15"/>
      <c r="G31" s="15"/>
      <c r="H31" s="15"/>
      <c r="I31" s="15"/>
    </row>
    <row r="32" spans="1:9">
      <c r="A32" s="15"/>
      <c r="B32" s="15"/>
      <c r="C32" s="15"/>
      <c r="D32" s="15"/>
      <c r="E32" s="15"/>
      <c r="F32" s="15"/>
      <c r="G32" s="15"/>
      <c r="H32" s="15"/>
      <c r="I32" s="15"/>
    </row>
  </sheetData>
  <mergeCells count="2">
    <mergeCell ref="A1:I1"/>
    <mergeCell ref="A22:I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786E-A5AD-4002-96D0-26E2ECB0E97B}">
  <dimension ref="A1:Q322"/>
  <sheetViews>
    <sheetView topLeftCell="M1" workbookViewId="0">
      <selection activeCell="M321" sqref="M2:M321"/>
    </sheetView>
  </sheetViews>
  <sheetFormatPr defaultRowHeight="14.4"/>
  <cols>
    <col min="3" max="3" width="7.21875" bestFit="1" customWidth="1"/>
  </cols>
  <sheetData>
    <row r="1" spans="1:17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102</v>
      </c>
      <c r="P1" s="7" t="s">
        <v>103</v>
      </c>
      <c r="Q1" s="7" t="s">
        <v>104</v>
      </c>
    </row>
    <row r="2" spans="1:17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 s="8">
        <v>0</v>
      </c>
      <c r="P2" s="8">
        <v>0</v>
      </c>
      <c r="Q2" s="8">
        <v>1</v>
      </c>
    </row>
    <row r="3" spans="1:17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 s="8">
        <v>0</v>
      </c>
      <c r="P3" s="8">
        <v>0</v>
      </c>
      <c r="Q3" s="8">
        <v>1</v>
      </c>
    </row>
    <row r="4" spans="1:17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 s="8">
        <v>0</v>
      </c>
      <c r="P4" s="8">
        <v>0</v>
      </c>
      <c r="Q4" s="8">
        <v>1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 s="8">
        <v>0</v>
      </c>
      <c r="P5" s="8">
        <v>0</v>
      </c>
      <c r="Q5" s="8">
        <v>1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 s="8">
        <v>0</v>
      </c>
      <c r="P6" s="8">
        <v>0</v>
      </c>
      <c r="Q6" s="8">
        <v>1</v>
      </c>
    </row>
    <row r="7" spans="1:17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 s="8">
        <v>0</v>
      </c>
      <c r="P7" s="8">
        <v>0</v>
      </c>
      <c r="Q7" s="8">
        <v>1</v>
      </c>
    </row>
    <row r="8" spans="1:17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 s="8">
        <v>0</v>
      </c>
      <c r="P8" s="8">
        <v>0</v>
      </c>
      <c r="Q8" s="8">
        <v>1</v>
      </c>
    </row>
    <row r="9" spans="1:17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 s="8">
        <v>0</v>
      </c>
      <c r="P9" s="8">
        <v>0</v>
      </c>
      <c r="Q9" s="8">
        <v>1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 s="8">
        <v>1</v>
      </c>
      <c r="P10" s="8">
        <v>0</v>
      </c>
      <c r="Q10" s="8">
        <v>0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 s="8">
        <v>1</v>
      </c>
      <c r="P11" s="8">
        <v>0</v>
      </c>
      <c r="Q11" s="8">
        <v>0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 s="8">
        <v>1</v>
      </c>
      <c r="P12" s="8">
        <v>0</v>
      </c>
      <c r="Q12" s="8">
        <v>0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 s="8">
        <v>1</v>
      </c>
      <c r="P13" s="8">
        <v>0</v>
      </c>
      <c r="Q13" s="8">
        <v>0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 s="8">
        <v>0</v>
      </c>
      <c r="P14" s="8">
        <v>0</v>
      </c>
      <c r="Q14" s="8">
        <v>1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 s="8">
        <v>0</v>
      </c>
      <c r="P15" s="8">
        <v>0</v>
      </c>
      <c r="Q15" s="8">
        <v>1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 s="8">
        <v>0</v>
      </c>
      <c r="P16" s="8">
        <v>0</v>
      </c>
      <c r="Q16" s="8">
        <v>1</v>
      </c>
    </row>
    <row r="17" spans="1:17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 s="8">
        <v>0</v>
      </c>
      <c r="P17" s="8">
        <v>0</v>
      </c>
      <c r="Q17" s="8">
        <v>1</v>
      </c>
    </row>
    <row r="18" spans="1:17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 s="8">
        <v>0</v>
      </c>
      <c r="P18" s="8">
        <v>1</v>
      </c>
      <c r="Q18" s="8">
        <v>0</v>
      </c>
    </row>
    <row r="19" spans="1:17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 s="8">
        <v>0</v>
      </c>
      <c r="P19" s="8">
        <v>1</v>
      </c>
      <c r="Q19" s="8">
        <v>0</v>
      </c>
    </row>
    <row r="20" spans="1:17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 s="8">
        <v>0</v>
      </c>
      <c r="P20" s="8">
        <v>1</v>
      </c>
      <c r="Q20" s="8">
        <v>0</v>
      </c>
    </row>
    <row r="21" spans="1:17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 s="8">
        <v>0</v>
      </c>
      <c r="P21" s="8">
        <v>1</v>
      </c>
      <c r="Q21" s="8">
        <v>0</v>
      </c>
    </row>
    <row r="22" spans="1:17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 s="8">
        <v>1</v>
      </c>
      <c r="P22" s="8">
        <v>0</v>
      </c>
      <c r="Q22" s="8">
        <v>0</v>
      </c>
    </row>
    <row r="23" spans="1:17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 s="8">
        <v>1</v>
      </c>
      <c r="P23" s="8">
        <v>0</v>
      </c>
      <c r="Q23" s="8">
        <v>0</v>
      </c>
    </row>
    <row r="24" spans="1:17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 s="8">
        <v>1</v>
      </c>
      <c r="P24" s="8">
        <v>0</v>
      </c>
      <c r="Q24" s="8">
        <v>0</v>
      </c>
    </row>
    <row r="25" spans="1:17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 s="8">
        <v>1</v>
      </c>
      <c r="P25" s="8">
        <v>0</v>
      </c>
      <c r="Q25" s="8">
        <v>0</v>
      </c>
    </row>
    <row r="26" spans="1:17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 s="8">
        <v>0</v>
      </c>
      <c r="P26" s="8">
        <v>0</v>
      </c>
      <c r="Q26" s="8">
        <v>0</v>
      </c>
    </row>
    <row r="27" spans="1:17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 s="8">
        <v>0</v>
      </c>
      <c r="P27" s="8">
        <v>0</v>
      </c>
      <c r="Q27" s="8">
        <v>0</v>
      </c>
    </row>
    <row r="28" spans="1:17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 s="8">
        <v>0</v>
      </c>
      <c r="P28" s="8">
        <v>0</v>
      </c>
      <c r="Q28" s="8">
        <v>0</v>
      </c>
    </row>
    <row r="29" spans="1:17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 s="8">
        <v>0</v>
      </c>
      <c r="P29" s="8">
        <v>0</v>
      </c>
      <c r="Q29" s="8">
        <v>0</v>
      </c>
    </row>
    <row r="30" spans="1:17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 s="8">
        <v>0</v>
      </c>
      <c r="P30" s="8">
        <v>0</v>
      </c>
      <c r="Q30" s="8">
        <v>1</v>
      </c>
    </row>
    <row r="31" spans="1:17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 s="8">
        <v>0</v>
      </c>
      <c r="P31" s="8">
        <v>0</v>
      </c>
      <c r="Q31" s="8">
        <v>1</v>
      </c>
    </row>
    <row r="32" spans="1:17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 s="8">
        <v>0</v>
      </c>
      <c r="P32" s="8">
        <v>0</v>
      </c>
      <c r="Q32" s="8">
        <v>1</v>
      </c>
    </row>
    <row r="33" spans="1:17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 s="8">
        <v>0</v>
      </c>
      <c r="P33" s="8">
        <v>0</v>
      </c>
      <c r="Q33" s="8">
        <v>1</v>
      </c>
    </row>
    <row r="34" spans="1:17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 s="8">
        <v>1</v>
      </c>
      <c r="P34" s="8">
        <v>0</v>
      </c>
      <c r="Q34" s="8">
        <v>0</v>
      </c>
    </row>
    <row r="35" spans="1:17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  <c r="O35" s="8">
        <v>1</v>
      </c>
      <c r="P35" s="8">
        <v>0</v>
      </c>
      <c r="Q35" s="8">
        <v>0</v>
      </c>
    </row>
    <row r="36" spans="1:17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 s="8">
        <v>1</v>
      </c>
      <c r="P36" s="8">
        <v>0</v>
      </c>
      <c r="Q36" s="8">
        <v>0</v>
      </c>
    </row>
    <row r="37" spans="1:17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 s="8">
        <v>1</v>
      </c>
      <c r="P37" s="8">
        <v>0</v>
      </c>
      <c r="Q37" s="8">
        <v>0</v>
      </c>
    </row>
    <row r="38" spans="1:17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 s="8">
        <v>1</v>
      </c>
      <c r="P38" s="8">
        <v>0</v>
      </c>
      <c r="Q38" s="8">
        <v>0</v>
      </c>
    </row>
    <row r="39" spans="1:17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 s="8">
        <v>1</v>
      </c>
      <c r="P39" s="8">
        <v>0</v>
      </c>
      <c r="Q39" s="8">
        <v>0</v>
      </c>
    </row>
    <row r="40" spans="1:17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 s="8">
        <v>1</v>
      </c>
      <c r="P40" s="8">
        <v>0</v>
      </c>
      <c r="Q40" s="8">
        <v>0</v>
      </c>
    </row>
    <row r="41" spans="1:17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 s="8">
        <v>1</v>
      </c>
      <c r="P41" s="8">
        <v>0</v>
      </c>
      <c r="Q41" s="8">
        <v>0</v>
      </c>
    </row>
    <row r="42" spans="1:17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 s="8">
        <v>0</v>
      </c>
      <c r="P42" s="8">
        <v>0</v>
      </c>
      <c r="Q42" s="8">
        <v>1</v>
      </c>
    </row>
    <row r="43" spans="1:17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 s="8">
        <v>0</v>
      </c>
      <c r="P43" s="8">
        <v>0</v>
      </c>
      <c r="Q43" s="8">
        <v>1</v>
      </c>
    </row>
    <row r="44" spans="1:17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 s="8">
        <v>0</v>
      </c>
      <c r="P44" s="8">
        <v>0</v>
      </c>
      <c r="Q44" s="8">
        <v>1</v>
      </c>
    </row>
    <row r="45" spans="1:17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 s="8">
        <v>0</v>
      </c>
      <c r="P45" s="8">
        <v>0</v>
      </c>
      <c r="Q45" s="8">
        <v>1</v>
      </c>
    </row>
    <row r="46" spans="1:17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 s="8">
        <v>0</v>
      </c>
      <c r="P46" s="8">
        <v>0</v>
      </c>
      <c r="Q46" s="8">
        <v>0</v>
      </c>
    </row>
    <row r="47" spans="1:17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 s="8">
        <v>0</v>
      </c>
      <c r="P47" s="8">
        <v>0</v>
      </c>
      <c r="Q47" s="8">
        <v>0</v>
      </c>
    </row>
    <row r="48" spans="1:17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 s="8">
        <v>0</v>
      </c>
      <c r="P48" s="8">
        <v>0</v>
      </c>
      <c r="Q48" s="8">
        <v>0</v>
      </c>
    </row>
    <row r="49" spans="1:17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 s="8">
        <v>0</v>
      </c>
      <c r="P49" s="8">
        <v>0</v>
      </c>
      <c r="Q49" s="8">
        <v>0</v>
      </c>
    </row>
    <row r="50" spans="1:17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 s="8">
        <v>1</v>
      </c>
      <c r="P50" s="8">
        <v>0</v>
      </c>
      <c r="Q50" s="8">
        <v>0</v>
      </c>
    </row>
    <row r="51" spans="1:17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 s="8">
        <v>1</v>
      </c>
      <c r="P51" s="8">
        <v>0</v>
      </c>
      <c r="Q51" s="8">
        <v>0</v>
      </c>
    </row>
    <row r="52" spans="1:17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 s="8">
        <v>1</v>
      </c>
      <c r="P52" s="8">
        <v>0</v>
      </c>
      <c r="Q52" s="8">
        <v>0</v>
      </c>
    </row>
    <row r="53" spans="1:17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 s="8">
        <v>1</v>
      </c>
      <c r="P53" s="8">
        <v>0</v>
      </c>
      <c r="Q53" s="8">
        <v>0</v>
      </c>
    </row>
    <row r="54" spans="1:17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 s="8">
        <v>0</v>
      </c>
      <c r="P54" s="8">
        <v>0</v>
      </c>
      <c r="Q54" s="8">
        <v>0</v>
      </c>
    </row>
    <row r="55" spans="1:17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 s="8">
        <v>0</v>
      </c>
      <c r="P55" s="8">
        <v>0</v>
      </c>
      <c r="Q55" s="8">
        <v>0</v>
      </c>
    </row>
    <row r="56" spans="1:17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 s="8">
        <v>0</v>
      </c>
      <c r="P56" s="8">
        <v>0</v>
      </c>
      <c r="Q56" s="8">
        <v>0</v>
      </c>
    </row>
    <row r="57" spans="1:17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 s="8">
        <v>0</v>
      </c>
      <c r="P57" s="8">
        <v>0</v>
      </c>
      <c r="Q57" s="8">
        <v>0</v>
      </c>
    </row>
    <row r="58" spans="1:17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 s="8">
        <v>0</v>
      </c>
      <c r="P58" s="8">
        <v>0</v>
      </c>
      <c r="Q58" s="8">
        <v>1</v>
      </c>
    </row>
    <row r="59" spans="1:17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 s="8">
        <v>0</v>
      </c>
      <c r="P59" s="8">
        <v>0</v>
      </c>
      <c r="Q59" s="8">
        <v>1</v>
      </c>
    </row>
    <row r="60" spans="1:17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 s="8">
        <v>0</v>
      </c>
      <c r="P60" s="8">
        <v>0</v>
      </c>
      <c r="Q60" s="8">
        <v>1</v>
      </c>
    </row>
    <row r="61" spans="1:17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 s="8">
        <v>0</v>
      </c>
      <c r="P61" s="8">
        <v>0</v>
      </c>
      <c r="Q61" s="8">
        <v>1</v>
      </c>
    </row>
    <row r="62" spans="1:17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 s="8">
        <v>0</v>
      </c>
      <c r="P62" s="8">
        <v>1</v>
      </c>
      <c r="Q62" s="8">
        <v>0</v>
      </c>
    </row>
    <row r="63" spans="1:17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 s="8">
        <v>0</v>
      </c>
      <c r="P63" s="8">
        <v>1</v>
      </c>
      <c r="Q63" s="8">
        <v>0</v>
      </c>
    </row>
    <row r="64" spans="1:17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 s="8">
        <v>0</v>
      </c>
      <c r="P64" s="8">
        <v>1</v>
      </c>
      <c r="Q64" s="8">
        <v>0</v>
      </c>
    </row>
    <row r="65" spans="1:17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 s="8">
        <v>0</v>
      </c>
      <c r="P65" s="8">
        <v>1</v>
      </c>
      <c r="Q65" s="8">
        <v>0</v>
      </c>
    </row>
    <row r="66" spans="1:17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 s="8">
        <v>0</v>
      </c>
      <c r="P66" s="8">
        <v>0</v>
      </c>
      <c r="Q66" s="8">
        <v>0</v>
      </c>
    </row>
    <row r="67" spans="1:17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 s="8">
        <v>0</v>
      </c>
      <c r="P67" s="8">
        <v>0</v>
      </c>
      <c r="Q67" s="8">
        <v>0</v>
      </c>
    </row>
    <row r="68" spans="1:17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 s="8">
        <v>0</v>
      </c>
      <c r="P68" s="8">
        <v>0</v>
      </c>
      <c r="Q68" s="8">
        <v>0</v>
      </c>
    </row>
    <row r="69" spans="1:17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 s="8">
        <v>0</v>
      </c>
      <c r="P69" s="8">
        <v>0</v>
      </c>
      <c r="Q69" s="8">
        <v>0</v>
      </c>
    </row>
    <row r="70" spans="1:17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 s="8">
        <v>0</v>
      </c>
      <c r="P70" s="8">
        <v>0</v>
      </c>
      <c r="Q70" s="8">
        <v>1</v>
      </c>
    </row>
    <row r="71" spans="1:17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 s="8">
        <v>0</v>
      </c>
      <c r="P71" s="8">
        <v>0</v>
      </c>
      <c r="Q71" s="8">
        <v>1</v>
      </c>
    </row>
    <row r="72" spans="1:17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 s="8">
        <v>0</v>
      </c>
      <c r="P72" s="8">
        <v>0</v>
      </c>
      <c r="Q72" s="8">
        <v>1</v>
      </c>
    </row>
    <row r="73" spans="1:17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4.55</v>
      </c>
      <c r="K73">
        <v>0</v>
      </c>
      <c r="L73">
        <v>3.5</v>
      </c>
      <c r="M73">
        <v>674774.09</v>
      </c>
      <c r="N73">
        <v>141917.59</v>
      </c>
      <c r="O73" s="8">
        <v>0</v>
      </c>
      <c r="P73" s="8">
        <v>0</v>
      </c>
      <c r="Q73" s="8">
        <v>1</v>
      </c>
    </row>
    <row r="74" spans="1:17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 s="8">
        <v>0</v>
      </c>
      <c r="P74" s="8">
        <v>0</v>
      </c>
      <c r="Q74" s="8">
        <v>1</v>
      </c>
    </row>
    <row r="75" spans="1:17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 s="8">
        <v>0</v>
      </c>
      <c r="P75" s="8">
        <v>0</v>
      </c>
      <c r="Q75" s="8">
        <v>1</v>
      </c>
    </row>
    <row r="76" spans="1:17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 s="8">
        <v>0</v>
      </c>
      <c r="P76" s="8">
        <v>0</v>
      </c>
      <c r="Q76" s="8">
        <v>1</v>
      </c>
    </row>
    <row r="77" spans="1:17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 s="8">
        <v>0</v>
      </c>
      <c r="P77" s="8">
        <v>0</v>
      </c>
      <c r="Q77" s="8">
        <v>1</v>
      </c>
    </row>
    <row r="78" spans="1:17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 s="8">
        <v>0</v>
      </c>
      <c r="P78" s="8">
        <v>1</v>
      </c>
      <c r="Q78" s="8">
        <v>0</v>
      </c>
    </row>
    <row r="79" spans="1:17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 s="8">
        <v>0</v>
      </c>
      <c r="P79" s="8">
        <v>1</v>
      </c>
      <c r="Q79" s="8">
        <v>0</v>
      </c>
    </row>
    <row r="80" spans="1:17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 s="8">
        <v>0</v>
      </c>
      <c r="P80" s="8">
        <v>1</v>
      </c>
      <c r="Q80" s="8">
        <v>0</v>
      </c>
    </row>
    <row r="81" spans="1:17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 s="8">
        <v>0</v>
      </c>
      <c r="P81" s="8">
        <v>1</v>
      </c>
      <c r="Q81" s="8">
        <v>0</v>
      </c>
    </row>
    <row r="82" spans="1:17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 s="8">
        <v>0</v>
      </c>
      <c r="P82" s="8">
        <v>0</v>
      </c>
      <c r="Q82" s="8">
        <v>0</v>
      </c>
    </row>
    <row r="83" spans="1:17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 s="8">
        <v>0</v>
      </c>
      <c r="P83" s="8">
        <v>0</v>
      </c>
      <c r="Q83" s="8">
        <v>0</v>
      </c>
    </row>
    <row r="84" spans="1:17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 s="8">
        <v>0</v>
      </c>
      <c r="P84" s="8">
        <v>0</v>
      </c>
      <c r="Q84" s="8">
        <v>0</v>
      </c>
    </row>
    <row r="85" spans="1:17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 s="8">
        <v>0</v>
      </c>
      <c r="P85" s="8">
        <v>0</v>
      </c>
      <c r="Q85" s="8">
        <v>0</v>
      </c>
    </row>
    <row r="86" spans="1:17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 s="8">
        <v>0</v>
      </c>
      <c r="P86" s="8">
        <v>0</v>
      </c>
      <c r="Q86" s="8">
        <v>0</v>
      </c>
    </row>
    <row r="87" spans="1:17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  <c r="O87" s="8">
        <v>0</v>
      </c>
      <c r="P87" s="8">
        <v>0</v>
      </c>
      <c r="Q87" s="8">
        <v>0</v>
      </c>
    </row>
    <row r="88" spans="1:17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 s="8">
        <v>0</v>
      </c>
      <c r="P88" s="8">
        <v>0</v>
      </c>
      <c r="Q88" s="8">
        <v>0</v>
      </c>
    </row>
    <row r="89" spans="1:17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 s="8">
        <v>0</v>
      </c>
      <c r="P89" s="8">
        <v>0</v>
      </c>
      <c r="Q89" s="8">
        <v>0</v>
      </c>
    </row>
    <row r="90" spans="1:17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 s="8">
        <v>0</v>
      </c>
      <c r="P90" s="8">
        <v>1</v>
      </c>
      <c r="Q90" s="8">
        <v>0</v>
      </c>
    </row>
    <row r="91" spans="1:17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 s="8">
        <v>0</v>
      </c>
      <c r="P91" s="8">
        <v>1</v>
      </c>
      <c r="Q91" s="8">
        <v>0</v>
      </c>
    </row>
    <row r="92" spans="1:17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 s="8">
        <v>0</v>
      </c>
      <c r="P92" s="8">
        <v>1</v>
      </c>
      <c r="Q92" s="8">
        <v>0</v>
      </c>
    </row>
    <row r="93" spans="1:17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 s="8">
        <v>0</v>
      </c>
      <c r="P93" s="8">
        <v>1</v>
      </c>
      <c r="Q93" s="8">
        <v>0</v>
      </c>
    </row>
    <row r="94" spans="1:17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 s="8">
        <v>0</v>
      </c>
      <c r="P94" s="8">
        <v>0</v>
      </c>
      <c r="Q94" s="8">
        <v>0</v>
      </c>
    </row>
    <row r="95" spans="1:17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 s="8">
        <v>0</v>
      </c>
      <c r="P95" s="8">
        <v>0</v>
      </c>
      <c r="Q95" s="8">
        <v>0</v>
      </c>
    </row>
    <row r="96" spans="1:17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 s="8">
        <v>0</v>
      </c>
      <c r="P96" s="8">
        <v>0</v>
      </c>
      <c r="Q96" s="8">
        <v>0</v>
      </c>
    </row>
    <row r="97" spans="1:17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 s="8">
        <v>0</v>
      </c>
      <c r="P97" s="8">
        <v>0</v>
      </c>
      <c r="Q97" s="8">
        <v>0</v>
      </c>
    </row>
    <row r="98" spans="1:17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 s="8">
        <v>0</v>
      </c>
      <c r="P98" s="8">
        <v>0</v>
      </c>
      <c r="Q98" s="8">
        <v>0</v>
      </c>
    </row>
    <row r="99" spans="1:17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 s="8">
        <v>0</v>
      </c>
      <c r="P99" s="8">
        <v>0</v>
      </c>
      <c r="Q99" s="8">
        <v>0</v>
      </c>
    </row>
    <row r="100" spans="1:17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</v>
      </c>
      <c r="K100">
        <v>0</v>
      </c>
      <c r="L100">
        <v>4.3</v>
      </c>
      <c r="M100">
        <v>605775.32999999996</v>
      </c>
      <c r="N100">
        <v>107194.6</v>
      </c>
      <c r="O100" s="8">
        <v>0</v>
      </c>
      <c r="P100" s="8">
        <v>0</v>
      </c>
      <c r="Q100" s="8">
        <v>0</v>
      </c>
    </row>
    <row r="101" spans="1:17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 s="8">
        <v>0</v>
      </c>
      <c r="P101" s="8">
        <v>0</v>
      </c>
      <c r="Q101" s="8">
        <v>0</v>
      </c>
    </row>
    <row r="102" spans="1:17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 s="8">
        <v>0</v>
      </c>
      <c r="P102" s="8">
        <v>0</v>
      </c>
      <c r="Q102" s="8">
        <v>1</v>
      </c>
    </row>
    <row r="103" spans="1:17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 s="8">
        <v>0</v>
      </c>
      <c r="P103" s="8">
        <v>0</v>
      </c>
      <c r="Q103" s="8">
        <v>1</v>
      </c>
    </row>
    <row r="104" spans="1:17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 s="8">
        <v>0</v>
      </c>
      <c r="P104" s="8">
        <v>0</v>
      </c>
      <c r="Q104" s="8">
        <v>1</v>
      </c>
    </row>
    <row r="105" spans="1:17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 s="8">
        <v>0</v>
      </c>
      <c r="P105" s="8">
        <v>0</v>
      </c>
      <c r="Q105" s="8">
        <v>1</v>
      </c>
    </row>
    <row r="106" spans="1:17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 s="8">
        <v>0</v>
      </c>
      <c r="P106" s="8">
        <v>0</v>
      </c>
      <c r="Q106" s="8">
        <v>0</v>
      </c>
    </row>
    <row r="107" spans="1:17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 s="8">
        <v>0</v>
      </c>
      <c r="P107" s="8">
        <v>0</v>
      </c>
      <c r="Q107" s="8">
        <v>0</v>
      </c>
    </row>
    <row r="108" spans="1:17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 s="8">
        <v>0</v>
      </c>
      <c r="P108" s="8">
        <v>0</v>
      </c>
      <c r="Q108" s="8">
        <v>0</v>
      </c>
    </row>
    <row r="109" spans="1:17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 s="8">
        <v>0</v>
      </c>
      <c r="P109" s="8">
        <v>0</v>
      </c>
      <c r="Q109" s="8">
        <v>0</v>
      </c>
    </row>
    <row r="110" spans="1:17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 s="8">
        <v>0</v>
      </c>
      <c r="P110" s="8">
        <v>0</v>
      </c>
      <c r="Q110" s="8">
        <v>1</v>
      </c>
    </row>
    <row r="111" spans="1:17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 s="8">
        <v>0</v>
      </c>
      <c r="P111" s="8">
        <v>0</v>
      </c>
      <c r="Q111" s="8">
        <v>1</v>
      </c>
    </row>
    <row r="112" spans="1:17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 s="8">
        <v>0</v>
      </c>
      <c r="P112" s="8">
        <v>0</v>
      </c>
      <c r="Q112" s="8">
        <v>1</v>
      </c>
    </row>
    <row r="113" spans="1:17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 s="8">
        <v>0</v>
      </c>
      <c r="P113" s="8">
        <v>0</v>
      </c>
      <c r="Q113" s="8">
        <v>1</v>
      </c>
    </row>
    <row r="114" spans="1:17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 s="8">
        <v>0</v>
      </c>
      <c r="P114" s="8">
        <v>0</v>
      </c>
      <c r="Q114" s="8">
        <v>0</v>
      </c>
    </row>
    <row r="115" spans="1:17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 s="8">
        <v>0</v>
      </c>
      <c r="P115" s="8">
        <v>0</v>
      </c>
      <c r="Q115" s="8">
        <v>0</v>
      </c>
    </row>
    <row r="116" spans="1:17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 s="8">
        <v>0</v>
      </c>
      <c r="P116" s="8">
        <v>0</v>
      </c>
      <c r="Q116" s="8">
        <v>0</v>
      </c>
    </row>
    <row r="117" spans="1:17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 s="8">
        <v>0</v>
      </c>
      <c r="P117" s="8">
        <v>0</v>
      </c>
      <c r="Q117" s="8">
        <v>0</v>
      </c>
    </row>
    <row r="118" spans="1:17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 s="8">
        <v>0</v>
      </c>
      <c r="P118" s="8">
        <v>0</v>
      </c>
      <c r="Q118" s="8">
        <v>0</v>
      </c>
    </row>
    <row r="119" spans="1:17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 s="8">
        <v>0</v>
      </c>
      <c r="P119" s="8">
        <v>0</v>
      </c>
      <c r="Q119" s="8">
        <v>0</v>
      </c>
    </row>
    <row r="120" spans="1:17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 s="8">
        <v>0</v>
      </c>
      <c r="P120" s="8">
        <v>0</v>
      </c>
      <c r="Q120" s="8">
        <v>0</v>
      </c>
    </row>
    <row r="121" spans="1:17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 s="8">
        <v>0</v>
      </c>
      <c r="P121" s="8">
        <v>0</v>
      </c>
      <c r="Q121" s="8">
        <v>0</v>
      </c>
    </row>
    <row r="122" spans="1:17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 s="8">
        <v>1</v>
      </c>
      <c r="P122" s="8">
        <v>0</v>
      </c>
      <c r="Q122" s="8">
        <v>0</v>
      </c>
    </row>
    <row r="123" spans="1:17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 s="8">
        <v>1</v>
      </c>
      <c r="P123" s="8">
        <v>0</v>
      </c>
      <c r="Q123" s="8">
        <v>0</v>
      </c>
    </row>
    <row r="124" spans="1:17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 s="8">
        <v>1</v>
      </c>
      <c r="P124" s="8">
        <v>0</v>
      </c>
      <c r="Q124" s="8">
        <v>0</v>
      </c>
    </row>
    <row r="125" spans="1:17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 s="8">
        <v>1</v>
      </c>
      <c r="P125" s="8">
        <v>0</v>
      </c>
      <c r="Q125" s="8">
        <v>0</v>
      </c>
    </row>
    <row r="126" spans="1:17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 s="8">
        <v>0</v>
      </c>
      <c r="P126" s="8">
        <v>1</v>
      </c>
      <c r="Q126" s="8">
        <v>0</v>
      </c>
    </row>
    <row r="127" spans="1:17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 s="8">
        <v>0</v>
      </c>
      <c r="P127" s="8">
        <v>1</v>
      </c>
      <c r="Q127" s="8">
        <v>0</v>
      </c>
    </row>
    <row r="128" spans="1:17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 s="8">
        <v>0</v>
      </c>
      <c r="P128" s="8">
        <v>1</v>
      </c>
      <c r="Q128" s="8">
        <v>0</v>
      </c>
    </row>
    <row r="129" spans="1:17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 s="8">
        <v>0</v>
      </c>
      <c r="P129" s="8">
        <v>1</v>
      </c>
      <c r="Q129" s="8">
        <v>0</v>
      </c>
    </row>
    <row r="130" spans="1:17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 s="8">
        <v>0</v>
      </c>
      <c r="P130" s="8">
        <v>0</v>
      </c>
      <c r="Q130" s="8">
        <v>1</v>
      </c>
    </row>
    <row r="131" spans="1:17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 s="8">
        <v>0</v>
      </c>
      <c r="P131" s="8">
        <v>0</v>
      </c>
      <c r="Q131" s="8">
        <v>1</v>
      </c>
    </row>
    <row r="132" spans="1:17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 s="8">
        <v>0</v>
      </c>
      <c r="P132" s="8">
        <v>0</v>
      </c>
      <c r="Q132" s="8">
        <v>1</v>
      </c>
    </row>
    <row r="133" spans="1:17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 s="8">
        <v>0</v>
      </c>
      <c r="P133" s="8">
        <v>0</v>
      </c>
      <c r="Q133" s="8">
        <v>1</v>
      </c>
    </row>
    <row r="134" spans="1:17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 s="8">
        <v>1</v>
      </c>
      <c r="P134" s="8">
        <v>0</v>
      </c>
      <c r="Q134" s="8">
        <v>0</v>
      </c>
    </row>
    <row r="135" spans="1:17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  <c r="O135" s="8">
        <v>1</v>
      </c>
      <c r="P135" s="8">
        <v>0</v>
      </c>
      <c r="Q135" s="8">
        <v>0</v>
      </c>
    </row>
    <row r="136" spans="1:17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 s="8">
        <v>1</v>
      </c>
      <c r="P136" s="8">
        <v>0</v>
      </c>
      <c r="Q136" s="8">
        <v>0</v>
      </c>
    </row>
    <row r="137" spans="1:17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 s="8">
        <v>1</v>
      </c>
      <c r="P137" s="8">
        <v>0</v>
      </c>
      <c r="Q137" s="8">
        <v>0</v>
      </c>
    </row>
    <row r="138" spans="1:17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  <c r="O138" s="8">
        <v>0</v>
      </c>
      <c r="P138" s="8">
        <v>1</v>
      </c>
      <c r="Q138" s="8">
        <v>0</v>
      </c>
    </row>
    <row r="139" spans="1:17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 s="8">
        <v>0</v>
      </c>
      <c r="P139" s="8">
        <v>1</v>
      </c>
      <c r="Q139" s="8">
        <v>0</v>
      </c>
    </row>
    <row r="140" spans="1:17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 s="8">
        <v>0</v>
      </c>
      <c r="P140" s="8">
        <v>1</v>
      </c>
      <c r="Q140" s="8">
        <v>0</v>
      </c>
    </row>
    <row r="141" spans="1:17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 s="8">
        <v>0</v>
      </c>
      <c r="P141" s="8">
        <v>1</v>
      </c>
      <c r="Q141" s="8">
        <v>0</v>
      </c>
    </row>
    <row r="142" spans="1:17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 s="8">
        <v>0</v>
      </c>
      <c r="P142" s="8">
        <v>0</v>
      </c>
      <c r="Q142" s="8">
        <v>0</v>
      </c>
    </row>
    <row r="143" spans="1:17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 s="8">
        <v>0</v>
      </c>
      <c r="P143" s="8">
        <v>0</v>
      </c>
      <c r="Q143" s="8">
        <v>0</v>
      </c>
    </row>
    <row r="144" spans="1:17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 s="8">
        <v>0</v>
      </c>
      <c r="P144" s="8">
        <v>0</v>
      </c>
      <c r="Q144" s="8">
        <v>0</v>
      </c>
    </row>
    <row r="145" spans="1:17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 s="8">
        <v>0</v>
      </c>
      <c r="P145" s="8">
        <v>0</v>
      </c>
      <c r="Q145" s="8">
        <v>0</v>
      </c>
    </row>
    <row r="146" spans="1:17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 s="8">
        <v>1</v>
      </c>
      <c r="P146" s="8">
        <v>0</v>
      </c>
      <c r="Q146" s="8">
        <v>0</v>
      </c>
    </row>
    <row r="147" spans="1:17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 s="8">
        <v>1</v>
      </c>
      <c r="P147" s="8">
        <v>0</v>
      </c>
      <c r="Q147" s="8">
        <v>0</v>
      </c>
    </row>
    <row r="148" spans="1:17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 s="8">
        <v>1</v>
      </c>
      <c r="P148" s="8">
        <v>0</v>
      </c>
      <c r="Q148" s="8">
        <v>0</v>
      </c>
    </row>
    <row r="149" spans="1:17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 s="8">
        <v>1</v>
      </c>
      <c r="P149" s="8">
        <v>0</v>
      </c>
      <c r="Q149" s="8">
        <v>0</v>
      </c>
    </row>
    <row r="150" spans="1:17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 s="8">
        <v>0</v>
      </c>
      <c r="P150" s="8">
        <v>1</v>
      </c>
      <c r="Q150" s="8">
        <v>0</v>
      </c>
    </row>
    <row r="151" spans="1:17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 s="8">
        <v>0</v>
      </c>
      <c r="P151" s="8">
        <v>1</v>
      </c>
      <c r="Q151" s="8">
        <v>0</v>
      </c>
    </row>
    <row r="152" spans="1:17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 s="8">
        <v>0</v>
      </c>
      <c r="P152" s="8">
        <v>1</v>
      </c>
      <c r="Q152" s="8">
        <v>0</v>
      </c>
    </row>
    <row r="153" spans="1:17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 s="8">
        <v>0</v>
      </c>
      <c r="P153" s="8">
        <v>1</v>
      </c>
      <c r="Q153" s="8">
        <v>0</v>
      </c>
    </row>
    <row r="154" spans="1:17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 s="8">
        <v>0</v>
      </c>
      <c r="P154" s="8">
        <v>0</v>
      </c>
      <c r="Q154" s="8">
        <v>1</v>
      </c>
    </row>
    <row r="155" spans="1:17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 s="8">
        <v>0</v>
      </c>
      <c r="P155" s="8">
        <v>0</v>
      </c>
      <c r="Q155" s="8">
        <v>1</v>
      </c>
    </row>
    <row r="156" spans="1:17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 s="8">
        <v>0</v>
      </c>
      <c r="P156" s="8">
        <v>0</v>
      </c>
      <c r="Q156" s="8">
        <v>1</v>
      </c>
    </row>
    <row r="157" spans="1:17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 s="8">
        <v>0</v>
      </c>
      <c r="P157" s="8">
        <v>0</v>
      </c>
      <c r="Q157" s="8">
        <v>1</v>
      </c>
    </row>
    <row r="158" spans="1:17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 s="8">
        <v>1</v>
      </c>
      <c r="P158" s="8">
        <v>0</v>
      </c>
      <c r="Q158" s="8">
        <v>0</v>
      </c>
    </row>
    <row r="159" spans="1:17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 s="8">
        <v>1</v>
      </c>
      <c r="P159" s="8">
        <v>0</v>
      </c>
      <c r="Q159" s="8">
        <v>0</v>
      </c>
    </row>
    <row r="160" spans="1:17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 s="8">
        <v>1</v>
      </c>
      <c r="P160" s="8">
        <v>0</v>
      </c>
      <c r="Q160" s="8">
        <v>0</v>
      </c>
    </row>
    <row r="161" spans="1:17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 s="8">
        <v>1</v>
      </c>
      <c r="P161" s="8">
        <v>0</v>
      </c>
      <c r="Q161" s="8">
        <v>0</v>
      </c>
    </row>
    <row r="162" spans="1:17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 s="8">
        <v>0</v>
      </c>
      <c r="P162" s="8">
        <v>1</v>
      </c>
      <c r="Q162" s="8">
        <v>0</v>
      </c>
    </row>
    <row r="163" spans="1:17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 s="8">
        <v>0</v>
      </c>
      <c r="P163" s="8">
        <v>1</v>
      </c>
      <c r="Q163" s="8">
        <v>0</v>
      </c>
    </row>
    <row r="164" spans="1:17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4.55</v>
      </c>
      <c r="K164">
        <v>0</v>
      </c>
      <c r="L164">
        <v>4.2</v>
      </c>
      <c r="M164">
        <v>677096.71</v>
      </c>
      <c r="N164">
        <v>97174.11</v>
      </c>
      <c r="O164" s="8">
        <v>0</v>
      </c>
      <c r="P164" s="8">
        <v>1</v>
      </c>
      <c r="Q164" s="8">
        <v>0</v>
      </c>
    </row>
    <row r="165" spans="1:17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 s="8">
        <v>0</v>
      </c>
      <c r="P165" s="8">
        <v>1</v>
      </c>
      <c r="Q165" s="8">
        <v>0</v>
      </c>
    </row>
    <row r="166" spans="1:17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 s="8">
        <v>1</v>
      </c>
      <c r="P166" s="8">
        <v>0</v>
      </c>
      <c r="Q166" s="8">
        <v>0</v>
      </c>
    </row>
    <row r="167" spans="1:17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 s="8">
        <v>1</v>
      </c>
      <c r="P167" s="8">
        <v>0</v>
      </c>
      <c r="Q167" s="8">
        <v>0</v>
      </c>
    </row>
    <row r="168" spans="1:17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 s="8">
        <v>1</v>
      </c>
      <c r="P168" s="8">
        <v>0</v>
      </c>
      <c r="Q168" s="8">
        <v>0</v>
      </c>
    </row>
    <row r="169" spans="1:17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 s="8">
        <v>1</v>
      </c>
      <c r="P169" s="8">
        <v>0</v>
      </c>
      <c r="Q169" s="8">
        <v>0</v>
      </c>
    </row>
    <row r="170" spans="1:17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 s="8">
        <v>0</v>
      </c>
      <c r="P170" s="8">
        <v>0</v>
      </c>
      <c r="Q170" s="8">
        <v>1</v>
      </c>
    </row>
    <row r="171" spans="1:17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 s="8">
        <v>0</v>
      </c>
      <c r="P171" s="8">
        <v>0</v>
      </c>
      <c r="Q171" s="8">
        <v>1</v>
      </c>
    </row>
    <row r="172" spans="1:17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 s="8">
        <v>0</v>
      </c>
      <c r="P172" s="8">
        <v>0</v>
      </c>
      <c r="Q172" s="8">
        <v>1</v>
      </c>
    </row>
    <row r="173" spans="1:17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 s="8">
        <v>0</v>
      </c>
      <c r="P173" s="8">
        <v>0</v>
      </c>
      <c r="Q173" s="8">
        <v>1</v>
      </c>
    </row>
    <row r="174" spans="1:17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 s="8">
        <v>0</v>
      </c>
      <c r="P174" s="8">
        <v>0</v>
      </c>
      <c r="Q174" s="8">
        <v>1</v>
      </c>
    </row>
    <row r="175" spans="1:17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 s="8">
        <v>0</v>
      </c>
      <c r="P175" s="8">
        <v>0</v>
      </c>
      <c r="Q175" s="8">
        <v>1</v>
      </c>
    </row>
    <row r="176" spans="1:17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 s="8">
        <v>0</v>
      </c>
      <c r="P176" s="8">
        <v>0</v>
      </c>
      <c r="Q176" s="8">
        <v>1</v>
      </c>
    </row>
    <row r="177" spans="1:17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 s="8">
        <v>0</v>
      </c>
      <c r="P177" s="8">
        <v>0</v>
      </c>
      <c r="Q177" s="8">
        <v>1</v>
      </c>
    </row>
    <row r="178" spans="1:17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 s="8">
        <v>0</v>
      </c>
      <c r="P178" s="8">
        <v>0</v>
      </c>
      <c r="Q178" s="8">
        <v>0</v>
      </c>
    </row>
    <row r="179" spans="1:17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 s="8">
        <v>0</v>
      </c>
      <c r="P179" s="8">
        <v>0</v>
      </c>
      <c r="Q179" s="8">
        <v>0</v>
      </c>
    </row>
    <row r="180" spans="1:17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 s="8">
        <v>0</v>
      </c>
      <c r="P180" s="8">
        <v>0</v>
      </c>
      <c r="Q180" s="8">
        <v>0</v>
      </c>
    </row>
    <row r="181" spans="1:17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 s="8">
        <v>0</v>
      </c>
      <c r="P181" s="8">
        <v>0</v>
      </c>
      <c r="Q181" s="8">
        <v>0</v>
      </c>
    </row>
    <row r="182" spans="1:17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 s="8">
        <v>0</v>
      </c>
      <c r="P182" s="8">
        <v>0</v>
      </c>
      <c r="Q182" s="8">
        <v>0</v>
      </c>
    </row>
    <row r="183" spans="1:17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 s="8">
        <v>0</v>
      </c>
      <c r="P183" s="8">
        <v>0</v>
      </c>
      <c r="Q183" s="8">
        <v>0</v>
      </c>
    </row>
    <row r="184" spans="1:17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 s="8">
        <v>0</v>
      </c>
      <c r="P184" s="8">
        <v>0</v>
      </c>
      <c r="Q184" s="8">
        <v>0</v>
      </c>
    </row>
    <row r="185" spans="1:17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 s="8">
        <v>0</v>
      </c>
      <c r="P185" s="8">
        <v>0</v>
      </c>
      <c r="Q185" s="8">
        <v>0</v>
      </c>
    </row>
    <row r="186" spans="1:17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 s="8">
        <v>1</v>
      </c>
      <c r="P186" s="8">
        <v>0</v>
      </c>
      <c r="Q186" s="8">
        <v>0</v>
      </c>
    </row>
    <row r="187" spans="1:17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 s="8">
        <v>1</v>
      </c>
      <c r="P187" s="8">
        <v>0</v>
      </c>
      <c r="Q187" s="8">
        <v>0</v>
      </c>
    </row>
    <row r="188" spans="1:17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 s="8">
        <v>1</v>
      </c>
      <c r="P188" s="8">
        <v>0</v>
      </c>
      <c r="Q188" s="8">
        <v>0</v>
      </c>
    </row>
    <row r="189" spans="1:17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 s="8">
        <v>1</v>
      </c>
      <c r="P189" s="8">
        <v>0</v>
      </c>
      <c r="Q189" s="8">
        <v>0</v>
      </c>
    </row>
    <row r="190" spans="1:17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 s="8">
        <v>0</v>
      </c>
      <c r="P190" s="8">
        <v>0</v>
      </c>
      <c r="Q190" s="8">
        <v>1</v>
      </c>
    </row>
    <row r="191" spans="1:17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 s="8">
        <v>0</v>
      </c>
      <c r="P191" s="8">
        <v>0</v>
      </c>
      <c r="Q191" s="8">
        <v>1</v>
      </c>
    </row>
    <row r="192" spans="1:17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 s="8">
        <v>0</v>
      </c>
      <c r="P192" s="8">
        <v>0</v>
      </c>
      <c r="Q192" s="8">
        <v>1</v>
      </c>
    </row>
    <row r="193" spans="1:17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 s="8">
        <v>0</v>
      </c>
      <c r="P193" s="8">
        <v>0</v>
      </c>
      <c r="Q193" s="8">
        <v>1</v>
      </c>
    </row>
    <row r="194" spans="1:17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 s="8">
        <v>0</v>
      </c>
      <c r="P194" s="8">
        <v>0</v>
      </c>
      <c r="Q194" s="8">
        <v>0</v>
      </c>
    </row>
    <row r="195" spans="1:17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 s="8">
        <v>0</v>
      </c>
      <c r="P195" s="8">
        <v>0</v>
      </c>
      <c r="Q195" s="8">
        <v>0</v>
      </c>
    </row>
    <row r="196" spans="1:17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 s="8">
        <v>0</v>
      </c>
      <c r="P196" s="8">
        <v>0</v>
      </c>
      <c r="Q196" s="8">
        <v>0</v>
      </c>
    </row>
    <row r="197" spans="1:17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  <c r="O197" s="8">
        <v>0</v>
      </c>
      <c r="P197" s="8">
        <v>0</v>
      </c>
      <c r="Q197" s="8">
        <v>0</v>
      </c>
    </row>
    <row r="198" spans="1:17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 s="8">
        <v>1</v>
      </c>
      <c r="P198" s="8">
        <v>0</v>
      </c>
      <c r="Q198" s="8">
        <v>0</v>
      </c>
    </row>
    <row r="199" spans="1:17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 s="8">
        <v>1</v>
      </c>
      <c r="P199" s="8">
        <v>0</v>
      </c>
      <c r="Q199" s="8">
        <v>0</v>
      </c>
    </row>
    <row r="200" spans="1:17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 s="8">
        <v>1</v>
      </c>
      <c r="P200" s="8">
        <v>0</v>
      </c>
      <c r="Q200" s="8">
        <v>0</v>
      </c>
    </row>
    <row r="201" spans="1:17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 s="8">
        <v>1</v>
      </c>
      <c r="P201" s="8">
        <v>0</v>
      </c>
      <c r="Q201" s="8">
        <v>0</v>
      </c>
    </row>
    <row r="202" spans="1:17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 s="8">
        <v>0</v>
      </c>
      <c r="P202" s="8">
        <v>0</v>
      </c>
      <c r="Q202" s="8">
        <v>1</v>
      </c>
    </row>
    <row r="203" spans="1:17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 s="8">
        <v>0</v>
      </c>
      <c r="P203" s="8">
        <v>0</v>
      </c>
      <c r="Q203" s="8">
        <v>1</v>
      </c>
    </row>
    <row r="204" spans="1:17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 s="8">
        <v>0</v>
      </c>
      <c r="P204" s="8">
        <v>0</v>
      </c>
      <c r="Q204" s="8">
        <v>1</v>
      </c>
    </row>
    <row r="205" spans="1:17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 s="8">
        <v>0</v>
      </c>
      <c r="P205" s="8">
        <v>0</v>
      </c>
      <c r="Q205" s="8">
        <v>1</v>
      </c>
    </row>
    <row r="206" spans="1:17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 s="8">
        <v>0</v>
      </c>
      <c r="P206" s="8">
        <v>0</v>
      </c>
      <c r="Q206" s="8">
        <v>1</v>
      </c>
    </row>
    <row r="207" spans="1:17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 s="8">
        <v>0</v>
      </c>
      <c r="P207" s="8">
        <v>0</v>
      </c>
      <c r="Q207" s="8">
        <v>1</v>
      </c>
    </row>
    <row r="208" spans="1:17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 s="8">
        <v>0</v>
      </c>
      <c r="P208" s="8">
        <v>0</v>
      </c>
      <c r="Q208" s="8">
        <v>1</v>
      </c>
    </row>
    <row r="209" spans="1:17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 s="8">
        <v>0</v>
      </c>
      <c r="P209" s="8">
        <v>0</v>
      </c>
      <c r="Q209" s="8">
        <v>1</v>
      </c>
    </row>
    <row r="210" spans="1:17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 s="8">
        <v>0</v>
      </c>
      <c r="P210" s="8">
        <v>0</v>
      </c>
      <c r="Q210" s="8">
        <v>1</v>
      </c>
    </row>
    <row r="211" spans="1:17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 s="8">
        <v>0</v>
      </c>
      <c r="P211" s="8">
        <v>0</v>
      </c>
      <c r="Q211" s="8">
        <v>1</v>
      </c>
    </row>
    <row r="212" spans="1:17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 s="8">
        <v>0</v>
      </c>
      <c r="P212" s="8">
        <v>0</v>
      </c>
      <c r="Q212" s="8">
        <v>1</v>
      </c>
    </row>
    <row r="213" spans="1:17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 s="8">
        <v>0</v>
      </c>
      <c r="P213" s="8">
        <v>0</v>
      </c>
      <c r="Q213" s="8">
        <v>1</v>
      </c>
    </row>
    <row r="214" spans="1:17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 s="8">
        <v>0</v>
      </c>
      <c r="P214" s="8">
        <v>0</v>
      </c>
      <c r="Q214" s="8">
        <v>0</v>
      </c>
    </row>
    <row r="215" spans="1:17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 s="8">
        <v>0</v>
      </c>
      <c r="P215" s="8">
        <v>0</v>
      </c>
      <c r="Q215" s="8">
        <v>0</v>
      </c>
    </row>
    <row r="216" spans="1:17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 s="8">
        <v>0</v>
      </c>
      <c r="P216" s="8">
        <v>0</v>
      </c>
      <c r="Q216" s="8">
        <v>0</v>
      </c>
    </row>
    <row r="217" spans="1:17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 s="8">
        <v>0</v>
      </c>
      <c r="P217" s="8">
        <v>0</v>
      </c>
      <c r="Q217" s="8">
        <v>0</v>
      </c>
    </row>
    <row r="218" spans="1:17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 s="8">
        <v>1</v>
      </c>
      <c r="P218" s="8">
        <v>0</v>
      </c>
      <c r="Q218" s="8">
        <v>0</v>
      </c>
    </row>
    <row r="219" spans="1:17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 s="8">
        <v>1</v>
      </c>
      <c r="P219" s="8">
        <v>0</v>
      </c>
      <c r="Q219" s="8">
        <v>0</v>
      </c>
    </row>
    <row r="220" spans="1:17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 s="8">
        <v>1</v>
      </c>
      <c r="P220" s="8">
        <v>0</v>
      </c>
      <c r="Q220" s="8">
        <v>0</v>
      </c>
    </row>
    <row r="221" spans="1:17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 s="8">
        <v>1</v>
      </c>
      <c r="P221" s="8">
        <v>0</v>
      </c>
      <c r="Q221" s="8">
        <v>0</v>
      </c>
    </row>
    <row r="222" spans="1:17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 s="8">
        <v>0</v>
      </c>
      <c r="P222" s="8">
        <v>0</v>
      </c>
      <c r="Q222" s="8">
        <v>1</v>
      </c>
    </row>
    <row r="223" spans="1:17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 s="8">
        <v>0</v>
      </c>
      <c r="P223" s="8">
        <v>0</v>
      </c>
      <c r="Q223" s="8">
        <v>1</v>
      </c>
    </row>
    <row r="224" spans="1:17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 s="8">
        <v>0</v>
      </c>
      <c r="P224" s="8">
        <v>0</v>
      </c>
      <c r="Q224" s="8">
        <v>1</v>
      </c>
    </row>
    <row r="225" spans="1:17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 s="8">
        <v>0</v>
      </c>
      <c r="P225" s="8">
        <v>0</v>
      </c>
      <c r="Q225" s="8">
        <v>1</v>
      </c>
    </row>
    <row r="226" spans="1:17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 s="8">
        <v>0</v>
      </c>
      <c r="P226" s="8">
        <v>0</v>
      </c>
      <c r="Q226" s="8">
        <v>1</v>
      </c>
    </row>
    <row r="227" spans="1:17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 s="8">
        <v>0</v>
      </c>
      <c r="P227" s="8">
        <v>0</v>
      </c>
      <c r="Q227" s="8">
        <v>1</v>
      </c>
    </row>
    <row r="228" spans="1:17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 s="8">
        <v>0</v>
      </c>
      <c r="P228" s="8">
        <v>0</v>
      </c>
      <c r="Q228" s="8">
        <v>1</v>
      </c>
    </row>
    <row r="229" spans="1:17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  <c r="O229" s="8">
        <v>0</v>
      </c>
      <c r="P229" s="8">
        <v>0</v>
      </c>
      <c r="Q229" s="8">
        <v>1</v>
      </c>
    </row>
    <row r="230" spans="1:17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 s="8">
        <v>0</v>
      </c>
      <c r="P230" s="8">
        <v>0</v>
      </c>
      <c r="Q230" s="8">
        <v>1</v>
      </c>
    </row>
    <row r="231" spans="1:17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 s="8">
        <v>0</v>
      </c>
      <c r="P231" s="8">
        <v>0</v>
      </c>
      <c r="Q231" s="8">
        <v>1</v>
      </c>
    </row>
    <row r="232" spans="1:17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 s="8">
        <v>0</v>
      </c>
      <c r="P232" s="8">
        <v>0</v>
      </c>
      <c r="Q232" s="8">
        <v>1</v>
      </c>
    </row>
    <row r="233" spans="1:17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4.55</v>
      </c>
      <c r="K233">
        <v>0</v>
      </c>
      <c r="L233">
        <v>3.7</v>
      </c>
      <c r="M233">
        <v>647512.85</v>
      </c>
      <c r="N233">
        <v>153835.57</v>
      </c>
      <c r="O233" s="8">
        <v>0</v>
      </c>
      <c r="P233" s="8">
        <v>0</v>
      </c>
      <c r="Q233" s="8">
        <v>1</v>
      </c>
    </row>
    <row r="234" spans="1:17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 s="8">
        <v>0</v>
      </c>
      <c r="P234" s="8">
        <v>0</v>
      </c>
      <c r="Q234" s="8">
        <v>0</v>
      </c>
    </row>
    <row r="235" spans="1:17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 s="8">
        <v>0</v>
      </c>
      <c r="P235" s="8">
        <v>0</v>
      </c>
      <c r="Q235" s="8">
        <v>0</v>
      </c>
    </row>
    <row r="236" spans="1:17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 s="8">
        <v>0</v>
      </c>
      <c r="P236" s="8">
        <v>0</v>
      </c>
      <c r="Q236" s="8">
        <v>0</v>
      </c>
    </row>
    <row r="237" spans="1:17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 s="8">
        <v>0</v>
      </c>
      <c r="P237" s="8">
        <v>0</v>
      </c>
      <c r="Q237" s="8">
        <v>0</v>
      </c>
    </row>
    <row r="238" spans="1:17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 s="8">
        <v>0</v>
      </c>
      <c r="P238" s="8">
        <v>0</v>
      </c>
      <c r="Q238" s="8">
        <v>0</v>
      </c>
    </row>
    <row r="239" spans="1:17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 s="8">
        <v>0</v>
      </c>
      <c r="P239" s="8">
        <v>0</v>
      </c>
      <c r="Q239" s="8">
        <v>0</v>
      </c>
    </row>
    <row r="240" spans="1:17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 s="8">
        <v>0</v>
      </c>
      <c r="P240" s="8">
        <v>0</v>
      </c>
      <c r="Q240" s="8">
        <v>0</v>
      </c>
    </row>
    <row r="241" spans="1:17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 s="8">
        <v>0</v>
      </c>
      <c r="P241" s="8">
        <v>0</v>
      </c>
      <c r="Q241" s="8">
        <v>0</v>
      </c>
    </row>
    <row r="242" spans="1:17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 s="8">
        <v>0</v>
      </c>
      <c r="P242" s="8">
        <v>1</v>
      </c>
      <c r="Q242" s="8">
        <v>0</v>
      </c>
    </row>
    <row r="243" spans="1:17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 s="8">
        <v>0</v>
      </c>
      <c r="P243" s="8">
        <v>1</v>
      </c>
      <c r="Q243" s="8">
        <v>0</v>
      </c>
    </row>
    <row r="244" spans="1:17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 s="8">
        <v>0</v>
      </c>
      <c r="P244" s="8">
        <v>1</v>
      </c>
      <c r="Q244" s="8">
        <v>0</v>
      </c>
    </row>
    <row r="245" spans="1:17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 s="8">
        <v>0</v>
      </c>
      <c r="P245" s="8">
        <v>1</v>
      </c>
      <c r="Q245" s="8">
        <v>0</v>
      </c>
    </row>
    <row r="246" spans="1:17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 s="8">
        <v>0</v>
      </c>
      <c r="P246" s="8">
        <v>0</v>
      </c>
      <c r="Q246" s="8">
        <v>1</v>
      </c>
    </row>
    <row r="247" spans="1:17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 s="8">
        <v>0</v>
      </c>
      <c r="P247" s="8">
        <v>0</v>
      </c>
      <c r="Q247" s="8">
        <v>1</v>
      </c>
    </row>
    <row r="248" spans="1:17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 s="8">
        <v>0</v>
      </c>
      <c r="P248" s="8">
        <v>0</v>
      </c>
      <c r="Q248" s="8">
        <v>1</v>
      </c>
    </row>
    <row r="249" spans="1:17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 s="8">
        <v>0</v>
      </c>
      <c r="P249" s="8">
        <v>0</v>
      </c>
      <c r="Q249" s="8">
        <v>1</v>
      </c>
    </row>
    <row r="250" spans="1:17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4.55</v>
      </c>
      <c r="K250">
        <v>0</v>
      </c>
      <c r="L250">
        <v>3.8</v>
      </c>
      <c r="M250">
        <v>606783.67000000004</v>
      </c>
      <c r="N250">
        <v>74515.87</v>
      </c>
      <c r="O250" s="8">
        <v>1</v>
      </c>
      <c r="P250" s="8">
        <v>0</v>
      </c>
      <c r="Q250" s="8">
        <v>0</v>
      </c>
    </row>
    <row r="251" spans="1:17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 s="8">
        <v>1</v>
      </c>
      <c r="P251" s="8">
        <v>0</v>
      </c>
      <c r="Q251" s="8">
        <v>0</v>
      </c>
    </row>
    <row r="252" spans="1:17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 s="8">
        <v>1</v>
      </c>
      <c r="P252" s="8">
        <v>0</v>
      </c>
      <c r="Q252" s="8">
        <v>0</v>
      </c>
    </row>
    <row r="253" spans="1:17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 s="8">
        <v>1</v>
      </c>
      <c r="P253" s="8">
        <v>0</v>
      </c>
      <c r="Q253" s="8">
        <v>0</v>
      </c>
    </row>
    <row r="254" spans="1:17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 s="8">
        <v>0</v>
      </c>
      <c r="P254" s="8">
        <v>1</v>
      </c>
      <c r="Q254" s="8">
        <v>0</v>
      </c>
    </row>
    <row r="255" spans="1:17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 s="8">
        <v>0</v>
      </c>
      <c r="P255" s="8">
        <v>1</v>
      </c>
      <c r="Q255" s="8">
        <v>0</v>
      </c>
    </row>
    <row r="256" spans="1:17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 s="8">
        <v>0</v>
      </c>
      <c r="P256" s="8">
        <v>1</v>
      </c>
      <c r="Q256" s="8">
        <v>0</v>
      </c>
    </row>
    <row r="257" spans="1:17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 s="8">
        <v>0</v>
      </c>
      <c r="P257" s="8">
        <v>1</v>
      </c>
      <c r="Q257" s="8">
        <v>0</v>
      </c>
    </row>
    <row r="258" spans="1:17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 s="8">
        <v>0</v>
      </c>
      <c r="P258" s="8">
        <v>1</v>
      </c>
      <c r="Q258" s="8">
        <v>0</v>
      </c>
    </row>
    <row r="259" spans="1:17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 s="8">
        <v>0</v>
      </c>
      <c r="P259" s="8">
        <v>1</v>
      </c>
      <c r="Q259" s="8">
        <v>0</v>
      </c>
    </row>
    <row r="260" spans="1:17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 s="8">
        <v>0</v>
      </c>
      <c r="P260" s="8">
        <v>1</v>
      </c>
      <c r="Q260" s="8">
        <v>0</v>
      </c>
    </row>
    <row r="261" spans="1:17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 s="8">
        <v>0</v>
      </c>
      <c r="P261" s="8">
        <v>1</v>
      </c>
      <c r="Q261" s="8">
        <v>0</v>
      </c>
    </row>
    <row r="262" spans="1:17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 s="8">
        <v>0</v>
      </c>
      <c r="P262" s="8">
        <v>0</v>
      </c>
      <c r="Q262" s="8">
        <v>0</v>
      </c>
    </row>
    <row r="263" spans="1:17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4.55</v>
      </c>
      <c r="K263">
        <v>0</v>
      </c>
      <c r="L263">
        <v>4.2</v>
      </c>
      <c r="M263">
        <v>605751.32999999996</v>
      </c>
      <c r="N263">
        <v>60685.53</v>
      </c>
      <c r="O263" s="8">
        <v>0</v>
      </c>
      <c r="P263" s="8">
        <v>0</v>
      </c>
      <c r="Q263" s="8">
        <v>0</v>
      </c>
    </row>
    <row r="264" spans="1:17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 s="8">
        <v>0</v>
      </c>
      <c r="P264" s="8">
        <v>0</v>
      </c>
      <c r="Q264" s="8">
        <v>0</v>
      </c>
    </row>
    <row r="265" spans="1:17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 s="8">
        <v>0</v>
      </c>
      <c r="P265" s="8">
        <v>0</v>
      </c>
      <c r="Q265" s="8">
        <v>0</v>
      </c>
    </row>
    <row r="266" spans="1:17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 s="8">
        <v>0</v>
      </c>
      <c r="P266" s="8">
        <v>0</v>
      </c>
      <c r="Q266" s="8">
        <v>1</v>
      </c>
    </row>
    <row r="267" spans="1:17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 s="8">
        <v>0</v>
      </c>
      <c r="P267" s="8">
        <v>0</v>
      </c>
      <c r="Q267" s="8">
        <v>1</v>
      </c>
    </row>
    <row r="268" spans="1:17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 s="8">
        <v>0</v>
      </c>
      <c r="P268" s="8">
        <v>0</v>
      </c>
      <c r="Q268" s="8">
        <v>1</v>
      </c>
    </row>
    <row r="269" spans="1:17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 s="8">
        <v>0</v>
      </c>
      <c r="P269" s="8">
        <v>0</v>
      </c>
      <c r="Q269" s="8">
        <v>1</v>
      </c>
    </row>
    <row r="270" spans="1:17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 s="8">
        <v>0</v>
      </c>
      <c r="P270" s="8">
        <v>0</v>
      </c>
      <c r="Q270" s="8">
        <v>1</v>
      </c>
    </row>
    <row r="271" spans="1:17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 s="8">
        <v>0</v>
      </c>
      <c r="P271" s="8">
        <v>0</v>
      </c>
      <c r="Q271" s="8">
        <v>1</v>
      </c>
    </row>
    <row r="272" spans="1:17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 s="8">
        <v>0</v>
      </c>
      <c r="P272" s="8">
        <v>0</v>
      </c>
      <c r="Q272" s="8">
        <v>1</v>
      </c>
    </row>
    <row r="273" spans="1:17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 s="8">
        <v>0</v>
      </c>
      <c r="P273" s="8">
        <v>0</v>
      </c>
      <c r="Q273" s="8">
        <v>1</v>
      </c>
    </row>
    <row r="274" spans="1:17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 s="8">
        <v>0</v>
      </c>
      <c r="P274" s="8">
        <v>0</v>
      </c>
      <c r="Q274" s="8">
        <v>0</v>
      </c>
    </row>
    <row r="275" spans="1:17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 s="8">
        <v>0</v>
      </c>
      <c r="P275" s="8">
        <v>0</v>
      </c>
      <c r="Q275" s="8">
        <v>0</v>
      </c>
    </row>
    <row r="276" spans="1:17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 s="8">
        <v>0</v>
      </c>
      <c r="P276" s="8">
        <v>0</v>
      </c>
      <c r="Q276" s="8">
        <v>0</v>
      </c>
    </row>
    <row r="277" spans="1:17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 s="8">
        <v>0</v>
      </c>
      <c r="P277" s="8">
        <v>0</v>
      </c>
      <c r="Q277" s="8">
        <v>0</v>
      </c>
    </row>
    <row r="278" spans="1:17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 s="8">
        <v>0</v>
      </c>
      <c r="P278" s="8">
        <v>1</v>
      </c>
      <c r="Q278" s="8">
        <v>0</v>
      </c>
    </row>
    <row r="279" spans="1:17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 s="8">
        <v>0</v>
      </c>
      <c r="P279" s="8">
        <v>1</v>
      </c>
      <c r="Q279" s="8">
        <v>0</v>
      </c>
    </row>
    <row r="280" spans="1:17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 s="8">
        <v>0</v>
      </c>
      <c r="P280" s="8">
        <v>1</v>
      </c>
      <c r="Q280" s="8">
        <v>0</v>
      </c>
    </row>
    <row r="281" spans="1:17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 s="8">
        <v>0</v>
      </c>
      <c r="P281" s="8">
        <v>1</v>
      </c>
      <c r="Q281" s="8">
        <v>0</v>
      </c>
    </row>
    <row r="282" spans="1:17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 s="8">
        <v>0</v>
      </c>
      <c r="P282" s="8">
        <v>1</v>
      </c>
      <c r="Q282" s="8">
        <v>0</v>
      </c>
    </row>
    <row r="283" spans="1:17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 s="8">
        <v>0</v>
      </c>
      <c r="P283" s="8">
        <v>1</v>
      </c>
      <c r="Q283" s="8">
        <v>0</v>
      </c>
    </row>
    <row r="284" spans="1:17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 s="8">
        <v>0</v>
      </c>
      <c r="P284" s="8">
        <v>1</v>
      </c>
      <c r="Q284" s="8">
        <v>0</v>
      </c>
    </row>
    <row r="285" spans="1:17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 s="8">
        <v>0</v>
      </c>
      <c r="P285" s="8">
        <v>1</v>
      </c>
      <c r="Q285" s="8">
        <v>0</v>
      </c>
    </row>
    <row r="286" spans="1:17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 s="8">
        <v>0</v>
      </c>
      <c r="P286" s="8">
        <v>0</v>
      </c>
      <c r="Q286" s="8">
        <v>0</v>
      </c>
    </row>
    <row r="287" spans="1:17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 s="8">
        <v>0</v>
      </c>
      <c r="P287" s="8">
        <v>0</v>
      </c>
      <c r="Q287" s="8">
        <v>0</v>
      </c>
    </row>
    <row r="288" spans="1:17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 s="8">
        <v>0</v>
      </c>
      <c r="P288" s="8">
        <v>0</v>
      </c>
      <c r="Q288" s="8">
        <v>0</v>
      </c>
    </row>
    <row r="289" spans="1:17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 s="8">
        <v>0</v>
      </c>
      <c r="P289" s="8">
        <v>0</v>
      </c>
      <c r="Q289" s="8">
        <v>0</v>
      </c>
    </row>
    <row r="290" spans="1:17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 s="8">
        <v>0</v>
      </c>
      <c r="P290" s="8">
        <v>0</v>
      </c>
      <c r="Q290" s="8">
        <v>1</v>
      </c>
    </row>
    <row r="291" spans="1:17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 s="8">
        <v>0</v>
      </c>
      <c r="P291" s="8">
        <v>0</v>
      </c>
      <c r="Q291" s="8">
        <v>1</v>
      </c>
    </row>
    <row r="292" spans="1:17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 s="8">
        <v>0</v>
      </c>
      <c r="P292" s="8">
        <v>0</v>
      </c>
      <c r="Q292" s="8">
        <v>1</v>
      </c>
    </row>
    <row r="293" spans="1:17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 s="8">
        <v>0</v>
      </c>
      <c r="P293" s="8">
        <v>0</v>
      </c>
      <c r="Q293" s="8">
        <v>1</v>
      </c>
    </row>
    <row r="294" spans="1:17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 s="8">
        <v>0</v>
      </c>
      <c r="P294" s="8">
        <v>0</v>
      </c>
      <c r="Q294" s="8">
        <v>0</v>
      </c>
    </row>
    <row r="295" spans="1:17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 s="8">
        <v>0</v>
      </c>
      <c r="P295" s="8">
        <v>0</v>
      </c>
      <c r="Q295" s="8">
        <v>0</v>
      </c>
    </row>
    <row r="296" spans="1:17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 s="8">
        <v>0</v>
      </c>
      <c r="P296" s="8">
        <v>0</v>
      </c>
      <c r="Q296" s="8">
        <v>0</v>
      </c>
    </row>
    <row r="297" spans="1:17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 s="8">
        <v>0</v>
      </c>
      <c r="P297" s="8">
        <v>0</v>
      </c>
      <c r="Q297" s="8">
        <v>0</v>
      </c>
    </row>
    <row r="298" spans="1:17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 s="8">
        <v>0</v>
      </c>
      <c r="P298" s="8">
        <v>0</v>
      </c>
      <c r="Q298" s="8">
        <v>0</v>
      </c>
    </row>
    <row r="299" spans="1:17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 s="8">
        <v>0</v>
      </c>
      <c r="P299" s="8">
        <v>0</v>
      </c>
      <c r="Q299" s="8">
        <v>0</v>
      </c>
    </row>
    <row r="300" spans="1:17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 s="8">
        <v>0</v>
      </c>
      <c r="P300" s="8">
        <v>0</v>
      </c>
      <c r="Q300" s="8">
        <v>0</v>
      </c>
    </row>
    <row r="301" spans="1:17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 s="8">
        <v>0</v>
      </c>
      <c r="P301" s="8">
        <v>0</v>
      </c>
      <c r="Q301" s="8">
        <v>0</v>
      </c>
    </row>
    <row r="302" spans="1:17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 s="8">
        <v>1</v>
      </c>
      <c r="P302" s="8">
        <v>0</v>
      </c>
      <c r="Q302" s="8">
        <v>0</v>
      </c>
    </row>
    <row r="303" spans="1:17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 s="8">
        <v>1</v>
      </c>
      <c r="P303" s="8">
        <v>0</v>
      </c>
      <c r="Q303" s="8">
        <v>0</v>
      </c>
    </row>
    <row r="304" spans="1:17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 s="8">
        <v>1</v>
      </c>
      <c r="P304" s="8">
        <v>0</v>
      </c>
      <c r="Q304" s="8">
        <v>0</v>
      </c>
    </row>
    <row r="305" spans="1:17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 s="8">
        <v>1</v>
      </c>
      <c r="P305" s="8">
        <v>0</v>
      </c>
      <c r="Q305" s="8">
        <v>0</v>
      </c>
    </row>
    <row r="306" spans="1:17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 s="8">
        <v>0</v>
      </c>
      <c r="P306" s="8">
        <v>1</v>
      </c>
      <c r="Q306" s="8">
        <v>0</v>
      </c>
    </row>
    <row r="307" spans="1:17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 s="8">
        <v>0</v>
      </c>
      <c r="P307" s="8">
        <v>1</v>
      </c>
      <c r="Q307" s="8">
        <v>0</v>
      </c>
    </row>
    <row r="308" spans="1:17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 s="8">
        <v>0</v>
      </c>
      <c r="P308" s="8">
        <v>1</v>
      </c>
      <c r="Q308" s="8">
        <v>0</v>
      </c>
    </row>
    <row r="309" spans="1:17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 s="8">
        <v>0</v>
      </c>
      <c r="P309" s="8">
        <v>1</v>
      </c>
      <c r="Q309" s="8">
        <v>0</v>
      </c>
    </row>
    <row r="310" spans="1:17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 s="8">
        <v>0</v>
      </c>
      <c r="P310" s="8">
        <v>1</v>
      </c>
      <c r="Q310" s="8">
        <v>0</v>
      </c>
    </row>
    <row r="311" spans="1:17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 s="8">
        <v>0</v>
      </c>
      <c r="P311" s="8">
        <v>1</v>
      </c>
      <c r="Q311" s="8">
        <v>0</v>
      </c>
    </row>
    <row r="312" spans="1:17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 s="8">
        <v>0</v>
      </c>
      <c r="P312" s="8">
        <v>1</v>
      </c>
      <c r="Q312" s="8">
        <v>0</v>
      </c>
    </row>
    <row r="313" spans="1:17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  <c r="O313" s="8">
        <v>0</v>
      </c>
      <c r="P313" s="8">
        <v>1</v>
      </c>
      <c r="Q313" s="8">
        <v>0</v>
      </c>
    </row>
    <row r="314" spans="1:17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 s="8">
        <v>1</v>
      </c>
      <c r="P314" s="8">
        <v>0</v>
      </c>
      <c r="Q314" s="8">
        <v>0</v>
      </c>
    </row>
    <row r="315" spans="1:17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  <c r="O315" s="8">
        <v>1</v>
      </c>
      <c r="P315" s="8">
        <v>0</v>
      </c>
      <c r="Q315" s="8">
        <v>0</v>
      </c>
    </row>
    <row r="316" spans="1:17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 s="8">
        <v>1</v>
      </c>
      <c r="P316" s="8">
        <v>0</v>
      </c>
      <c r="Q316" s="8">
        <v>0</v>
      </c>
    </row>
    <row r="317" spans="1:17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 s="8">
        <v>1</v>
      </c>
      <c r="P317" s="8">
        <v>0</v>
      </c>
      <c r="Q317" s="8">
        <v>0</v>
      </c>
    </row>
    <row r="318" spans="1:17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 s="8">
        <v>0</v>
      </c>
      <c r="P318" s="8">
        <v>0</v>
      </c>
      <c r="Q318" s="8">
        <v>1</v>
      </c>
    </row>
    <row r="319" spans="1:17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 s="8">
        <v>0</v>
      </c>
      <c r="P319" s="8">
        <v>0</v>
      </c>
      <c r="Q319" s="8">
        <v>1</v>
      </c>
    </row>
    <row r="320" spans="1:17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 s="8">
        <v>0</v>
      </c>
      <c r="P320" s="8">
        <v>0</v>
      </c>
      <c r="Q320" s="8">
        <v>1</v>
      </c>
    </row>
    <row r="321" spans="1:17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 s="8">
        <v>0</v>
      </c>
      <c r="P321" s="8">
        <v>0</v>
      </c>
      <c r="Q321" s="8">
        <v>1</v>
      </c>
    </row>
    <row r="322" spans="1:17">
      <c r="J322">
        <f>COUNTBLANK(J2:J321)</f>
        <v>0</v>
      </c>
      <c r="K322">
        <f t="shared" ref="K322:L322" si="0">COUNTBLANK(K2:K321)</f>
        <v>0</v>
      </c>
      <c r="L322">
        <f t="shared" si="0"/>
        <v>0</v>
      </c>
    </row>
  </sheetData>
  <autoFilter ref="A1:N323" xr:uid="{CB0E786E-A5AD-4002-96D0-26E2ECB0E97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E234-62EA-4449-9714-D09E369C3066}">
  <dimension ref="A1:K323"/>
  <sheetViews>
    <sheetView workbookViewId="0">
      <pane ySplit="1" topLeftCell="A2" activePane="bottomLeft" state="frozen"/>
      <selection pane="bottomLeft" activeCell="F5" sqref="F5"/>
    </sheetView>
  </sheetViews>
  <sheetFormatPr defaultRowHeight="14.4"/>
  <cols>
    <col min="2" max="2" width="12.33203125" bestFit="1" customWidth="1"/>
    <col min="3" max="3" width="12.21875" bestFit="1" customWidth="1"/>
    <col min="4" max="4" width="11" bestFit="1" customWidth="1"/>
  </cols>
  <sheetData>
    <row r="1" spans="1:11" ht="15.6">
      <c r="A1" s="16" t="s">
        <v>135</v>
      </c>
      <c r="B1" s="10"/>
      <c r="C1" s="10"/>
      <c r="D1" s="10"/>
    </row>
    <row r="3" spans="1:11">
      <c r="A3" s="17" t="s">
        <v>2</v>
      </c>
      <c r="B3" s="18" t="s">
        <v>102</v>
      </c>
      <c r="C3" s="18" t="s">
        <v>103</v>
      </c>
      <c r="D3" s="18" t="s">
        <v>104</v>
      </c>
    </row>
    <row r="4" spans="1:11">
      <c r="A4" t="s">
        <v>15</v>
      </c>
      <c r="B4">
        <f>IF($A4="North",1,0)</f>
        <v>0</v>
      </c>
      <c r="C4">
        <f>IF($A4="South",1,0)</f>
        <v>0</v>
      </c>
      <c r="D4">
        <f>IF($A4="East",1,0)</f>
        <v>1</v>
      </c>
    </row>
    <row r="5" spans="1:11">
      <c r="A5" t="s">
        <v>15</v>
      </c>
      <c r="B5">
        <f t="shared" ref="B5:B68" si="0">IF($A5="North",1,0)</f>
        <v>0</v>
      </c>
      <c r="C5">
        <f t="shared" ref="C5:C68" si="1">IF($A5="South",1,0)</f>
        <v>0</v>
      </c>
      <c r="D5">
        <f t="shared" ref="D5:D68" si="2">IF($A5="East",1,0)</f>
        <v>1</v>
      </c>
    </row>
    <row r="6" spans="1:11">
      <c r="A6" t="s">
        <v>15</v>
      </c>
      <c r="B6">
        <f t="shared" si="0"/>
        <v>0</v>
      </c>
      <c r="C6">
        <f t="shared" si="1"/>
        <v>0</v>
      </c>
      <c r="D6">
        <f t="shared" si="2"/>
        <v>1</v>
      </c>
    </row>
    <row r="7" spans="1:11">
      <c r="A7" t="s">
        <v>15</v>
      </c>
      <c r="B7">
        <f t="shared" si="0"/>
        <v>0</v>
      </c>
      <c r="C7">
        <f t="shared" si="1"/>
        <v>0</v>
      </c>
      <c r="D7">
        <f t="shared" si="2"/>
        <v>1</v>
      </c>
    </row>
    <row r="8" spans="1:11">
      <c r="A8" t="s">
        <v>15</v>
      </c>
      <c r="B8">
        <f t="shared" si="0"/>
        <v>0</v>
      </c>
      <c r="C8">
        <f t="shared" si="1"/>
        <v>0</v>
      </c>
      <c r="D8">
        <f t="shared" si="2"/>
        <v>1</v>
      </c>
    </row>
    <row r="9" spans="1:11">
      <c r="A9" t="s">
        <v>15</v>
      </c>
      <c r="B9">
        <f t="shared" si="0"/>
        <v>0</v>
      </c>
      <c r="C9">
        <f t="shared" si="1"/>
        <v>0</v>
      </c>
      <c r="D9">
        <f t="shared" si="2"/>
        <v>1</v>
      </c>
      <c r="F9" s="19" t="s">
        <v>136</v>
      </c>
      <c r="G9" s="20"/>
      <c r="H9" s="20"/>
      <c r="I9" s="20"/>
      <c r="J9" s="20"/>
      <c r="K9" s="20"/>
    </row>
    <row r="10" spans="1:11">
      <c r="A10" t="s">
        <v>15</v>
      </c>
      <c r="B10">
        <f t="shared" si="0"/>
        <v>0</v>
      </c>
      <c r="C10">
        <f t="shared" si="1"/>
        <v>0</v>
      </c>
      <c r="D10">
        <f t="shared" si="2"/>
        <v>1</v>
      </c>
      <c r="F10" s="20"/>
      <c r="G10" s="20"/>
      <c r="H10" s="20"/>
      <c r="I10" s="20"/>
      <c r="J10" s="20"/>
      <c r="K10" s="20"/>
    </row>
    <row r="11" spans="1:11">
      <c r="A11" t="s">
        <v>15</v>
      </c>
      <c r="B11">
        <f t="shared" si="0"/>
        <v>0</v>
      </c>
      <c r="C11">
        <f t="shared" si="1"/>
        <v>0</v>
      </c>
      <c r="D11">
        <f t="shared" si="2"/>
        <v>1</v>
      </c>
      <c r="F11" s="20"/>
      <c r="G11" s="20"/>
      <c r="H11" s="20"/>
      <c r="I11" s="20"/>
      <c r="J11" s="20"/>
      <c r="K11" s="20"/>
    </row>
    <row r="12" spans="1:11">
      <c r="A12" t="s">
        <v>20</v>
      </c>
      <c r="B12">
        <f t="shared" si="0"/>
        <v>1</v>
      </c>
      <c r="C12">
        <f t="shared" si="1"/>
        <v>0</v>
      </c>
      <c r="D12">
        <f t="shared" si="2"/>
        <v>0</v>
      </c>
      <c r="F12" s="20"/>
      <c r="G12" s="20"/>
      <c r="H12" s="20"/>
      <c r="I12" s="20"/>
      <c r="J12" s="20"/>
      <c r="K12" s="20"/>
    </row>
    <row r="13" spans="1:11">
      <c r="A13" t="s">
        <v>20</v>
      </c>
      <c r="B13">
        <f t="shared" si="0"/>
        <v>1</v>
      </c>
      <c r="C13">
        <f t="shared" si="1"/>
        <v>0</v>
      </c>
      <c r="D13">
        <f t="shared" si="2"/>
        <v>0</v>
      </c>
      <c r="F13" s="20"/>
      <c r="G13" s="20"/>
      <c r="H13" s="20"/>
      <c r="I13" s="20"/>
      <c r="J13" s="20"/>
      <c r="K13" s="20"/>
    </row>
    <row r="14" spans="1:11">
      <c r="A14" t="s">
        <v>20</v>
      </c>
      <c r="B14">
        <f t="shared" si="0"/>
        <v>1</v>
      </c>
      <c r="C14">
        <f t="shared" si="1"/>
        <v>0</v>
      </c>
      <c r="D14">
        <f t="shared" si="2"/>
        <v>0</v>
      </c>
      <c r="F14" s="20"/>
      <c r="G14" s="20"/>
      <c r="H14" s="20"/>
      <c r="I14" s="20"/>
      <c r="J14" s="20"/>
      <c r="K14" s="20"/>
    </row>
    <row r="15" spans="1:11">
      <c r="A15" t="s">
        <v>20</v>
      </c>
      <c r="B15">
        <f t="shared" si="0"/>
        <v>1</v>
      </c>
      <c r="C15">
        <f t="shared" si="1"/>
        <v>0</v>
      </c>
      <c r="D15">
        <f t="shared" si="2"/>
        <v>0</v>
      </c>
      <c r="F15" s="20"/>
      <c r="G15" s="20"/>
      <c r="H15" s="20"/>
      <c r="I15" s="20"/>
      <c r="J15" s="20"/>
      <c r="K15" s="20"/>
    </row>
    <row r="16" spans="1:11">
      <c r="A16" t="s">
        <v>15</v>
      </c>
      <c r="B16">
        <f t="shared" si="0"/>
        <v>0</v>
      </c>
      <c r="C16">
        <f t="shared" si="1"/>
        <v>0</v>
      </c>
      <c r="D16">
        <f t="shared" si="2"/>
        <v>1</v>
      </c>
      <c r="F16" s="20"/>
      <c r="G16" s="20"/>
      <c r="H16" s="20"/>
      <c r="I16" s="20"/>
      <c r="J16" s="20"/>
      <c r="K16" s="20"/>
    </row>
    <row r="17" spans="1:11">
      <c r="A17" t="s">
        <v>15</v>
      </c>
      <c r="B17">
        <f t="shared" si="0"/>
        <v>0</v>
      </c>
      <c r="C17">
        <f t="shared" si="1"/>
        <v>0</v>
      </c>
      <c r="D17">
        <f t="shared" si="2"/>
        <v>1</v>
      </c>
      <c r="F17" s="20"/>
      <c r="G17" s="20"/>
      <c r="H17" s="20"/>
      <c r="I17" s="20"/>
      <c r="J17" s="20"/>
      <c r="K17" s="20"/>
    </row>
    <row r="18" spans="1:11">
      <c r="A18" t="s">
        <v>15</v>
      </c>
      <c r="B18">
        <f t="shared" si="0"/>
        <v>0</v>
      </c>
      <c r="C18">
        <f t="shared" si="1"/>
        <v>0</v>
      </c>
      <c r="D18">
        <f t="shared" si="2"/>
        <v>1</v>
      </c>
      <c r="F18" s="20"/>
      <c r="G18" s="20"/>
      <c r="H18" s="20"/>
      <c r="I18" s="20"/>
      <c r="J18" s="20"/>
      <c r="K18" s="20"/>
    </row>
    <row r="19" spans="1:11">
      <c r="A19" t="s">
        <v>15</v>
      </c>
      <c r="B19">
        <f t="shared" si="0"/>
        <v>0</v>
      </c>
      <c r="C19">
        <f t="shared" si="1"/>
        <v>0</v>
      </c>
      <c r="D19">
        <f t="shared" si="2"/>
        <v>1</v>
      </c>
    </row>
    <row r="20" spans="1:11">
      <c r="A20" t="s">
        <v>24</v>
      </c>
      <c r="B20">
        <f t="shared" si="0"/>
        <v>0</v>
      </c>
      <c r="C20">
        <f t="shared" si="1"/>
        <v>1</v>
      </c>
      <c r="D20">
        <f t="shared" si="2"/>
        <v>0</v>
      </c>
    </row>
    <row r="21" spans="1:11">
      <c r="A21" t="s">
        <v>24</v>
      </c>
      <c r="B21">
        <f t="shared" si="0"/>
        <v>0</v>
      </c>
      <c r="C21">
        <f t="shared" si="1"/>
        <v>1</v>
      </c>
      <c r="D21">
        <f t="shared" si="2"/>
        <v>0</v>
      </c>
    </row>
    <row r="22" spans="1:11">
      <c r="A22" t="s">
        <v>24</v>
      </c>
      <c r="B22">
        <f t="shared" si="0"/>
        <v>0</v>
      </c>
      <c r="C22">
        <f t="shared" si="1"/>
        <v>1</v>
      </c>
      <c r="D22">
        <f t="shared" si="2"/>
        <v>0</v>
      </c>
    </row>
    <row r="23" spans="1:11">
      <c r="A23" t="s">
        <v>24</v>
      </c>
      <c r="B23">
        <f t="shared" si="0"/>
        <v>0</v>
      </c>
      <c r="C23">
        <f t="shared" si="1"/>
        <v>1</v>
      </c>
      <c r="D23">
        <f t="shared" si="2"/>
        <v>0</v>
      </c>
    </row>
    <row r="24" spans="1:11">
      <c r="A24" t="s">
        <v>20</v>
      </c>
      <c r="B24">
        <f t="shared" si="0"/>
        <v>1</v>
      </c>
      <c r="C24">
        <f t="shared" si="1"/>
        <v>0</v>
      </c>
      <c r="D24">
        <f t="shared" si="2"/>
        <v>0</v>
      </c>
    </row>
    <row r="25" spans="1:11">
      <c r="A25" t="s">
        <v>20</v>
      </c>
      <c r="B25">
        <f t="shared" si="0"/>
        <v>1</v>
      </c>
      <c r="C25">
        <f t="shared" si="1"/>
        <v>0</v>
      </c>
      <c r="D25">
        <f t="shared" si="2"/>
        <v>0</v>
      </c>
    </row>
    <row r="26" spans="1:11">
      <c r="A26" t="s">
        <v>20</v>
      </c>
      <c r="B26">
        <f t="shared" si="0"/>
        <v>1</v>
      </c>
      <c r="C26">
        <f t="shared" si="1"/>
        <v>0</v>
      </c>
      <c r="D26">
        <f t="shared" si="2"/>
        <v>0</v>
      </c>
    </row>
    <row r="27" spans="1:11">
      <c r="A27" t="s">
        <v>20</v>
      </c>
      <c r="B27">
        <f t="shared" si="0"/>
        <v>1</v>
      </c>
      <c r="C27">
        <f t="shared" si="1"/>
        <v>0</v>
      </c>
      <c r="D27">
        <f t="shared" si="2"/>
        <v>0</v>
      </c>
    </row>
    <row r="28" spans="1:11">
      <c r="A28" t="s">
        <v>27</v>
      </c>
      <c r="B28">
        <f t="shared" si="0"/>
        <v>0</v>
      </c>
      <c r="C28">
        <f t="shared" si="1"/>
        <v>0</v>
      </c>
      <c r="D28">
        <f t="shared" si="2"/>
        <v>0</v>
      </c>
    </row>
    <row r="29" spans="1:11">
      <c r="A29" t="s">
        <v>27</v>
      </c>
      <c r="B29">
        <f t="shared" si="0"/>
        <v>0</v>
      </c>
      <c r="C29">
        <f t="shared" si="1"/>
        <v>0</v>
      </c>
      <c r="D29">
        <f t="shared" si="2"/>
        <v>0</v>
      </c>
    </row>
    <row r="30" spans="1:11">
      <c r="A30" t="s">
        <v>27</v>
      </c>
      <c r="B30">
        <f t="shared" si="0"/>
        <v>0</v>
      </c>
      <c r="C30">
        <f t="shared" si="1"/>
        <v>0</v>
      </c>
      <c r="D30">
        <f t="shared" si="2"/>
        <v>0</v>
      </c>
    </row>
    <row r="31" spans="1:11">
      <c r="A31" t="s">
        <v>27</v>
      </c>
      <c r="B31">
        <f t="shared" si="0"/>
        <v>0</v>
      </c>
      <c r="C31">
        <f t="shared" si="1"/>
        <v>0</v>
      </c>
      <c r="D31">
        <f t="shared" si="2"/>
        <v>0</v>
      </c>
    </row>
    <row r="32" spans="1:11">
      <c r="A32" t="s">
        <v>15</v>
      </c>
      <c r="B32">
        <f t="shared" si="0"/>
        <v>0</v>
      </c>
      <c r="C32">
        <f t="shared" si="1"/>
        <v>0</v>
      </c>
      <c r="D32">
        <f t="shared" si="2"/>
        <v>1</v>
      </c>
    </row>
    <row r="33" spans="1:4">
      <c r="A33" t="s">
        <v>15</v>
      </c>
      <c r="B33">
        <f t="shared" si="0"/>
        <v>0</v>
      </c>
      <c r="C33">
        <f t="shared" si="1"/>
        <v>0</v>
      </c>
      <c r="D33">
        <f t="shared" si="2"/>
        <v>1</v>
      </c>
    </row>
    <row r="34" spans="1:4">
      <c r="A34" t="s">
        <v>15</v>
      </c>
      <c r="B34">
        <f t="shared" si="0"/>
        <v>0</v>
      </c>
      <c r="C34">
        <f t="shared" si="1"/>
        <v>0</v>
      </c>
      <c r="D34">
        <f t="shared" si="2"/>
        <v>1</v>
      </c>
    </row>
    <row r="35" spans="1:4">
      <c r="A35" t="s">
        <v>15</v>
      </c>
      <c r="B35">
        <f t="shared" si="0"/>
        <v>0</v>
      </c>
      <c r="C35">
        <f t="shared" si="1"/>
        <v>0</v>
      </c>
      <c r="D35">
        <f t="shared" si="2"/>
        <v>1</v>
      </c>
    </row>
    <row r="36" spans="1:4">
      <c r="A36" t="s">
        <v>20</v>
      </c>
      <c r="B36">
        <f t="shared" si="0"/>
        <v>1</v>
      </c>
      <c r="C36">
        <f t="shared" si="1"/>
        <v>0</v>
      </c>
      <c r="D36">
        <f t="shared" si="2"/>
        <v>0</v>
      </c>
    </row>
    <row r="37" spans="1:4">
      <c r="A37" t="s">
        <v>20</v>
      </c>
      <c r="B37">
        <f t="shared" si="0"/>
        <v>1</v>
      </c>
      <c r="C37">
        <f t="shared" si="1"/>
        <v>0</v>
      </c>
      <c r="D37">
        <f t="shared" si="2"/>
        <v>0</v>
      </c>
    </row>
    <row r="38" spans="1:4">
      <c r="A38" t="s">
        <v>20</v>
      </c>
      <c r="B38">
        <f t="shared" si="0"/>
        <v>1</v>
      </c>
      <c r="C38">
        <f t="shared" si="1"/>
        <v>0</v>
      </c>
      <c r="D38">
        <f t="shared" si="2"/>
        <v>0</v>
      </c>
    </row>
    <row r="39" spans="1:4">
      <c r="A39" t="s">
        <v>20</v>
      </c>
      <c r="B39">
        <f t="shared" si="0"/>
        <v>1</v>
      </c>
      <c r="C39">
        <f t="shared" si="1"/>
        <v>0</v>
      </c>
      <c r="D39">
        <f t="shared" si="2"/>
        <v>0</v>
      </c>
    </row>
    <row r="40" spans="1:4">
      <c r="A40" t="s">
        <v>20</v>
      </c>
      <c r="B40">
        <f t="shared" si="0"/>
        <v>1</v>
      </c>
      <c r="C40">
        <f t="shared" si="1"/>
        <v>0</v>
      </c>
      <c r="D40">
        <f t="shared" si="2"/>
        <v>0</v>
      </c>
    </row>
    <row r="41" spans="1:4">
      <c r="A41" t="s">
        <v>20</v>
      </c>
      <c r="B41">
        <f t="shared" si="0"/>
        <v>1</v>
      </c>
      <c r="C41">
        <f t="shared" si="1"/>
        <v>0</v>
      </c>
      <c r="D41">
        <f t="shared" si="2"/>
        <v>0</v>
      </c>
    </row>
    <row r="42" spans="1:4">
      <c r="A42" t="s">
        <v>20</v>
      </c>
      <c r="B42">
        <f t="shared" si="0"/>
        <v>1</v>
      </c>
      <c r="C42">
        <f t="shared" si="1"/>
        <v>0</v>
      </c>
      <c r="D42">
        <f t="shared" si="2"/>
        <v>0</v>
      </c>
    </row>
    <row r="43" spans="1:4">
      <c r="A43" t="s">
        <v>20</v>
      </c>
      <c r="B43">
        <f t="shared" si="0"/>
        <v>1</v>
      </c>
      <c r="C43">
        <f t="shared" si="1"/>
        <v>0</v>
      </c>
      <c r="D43">
        <f t="shared" si="2"/>
        <v>0</v>
      </c>
    </row>
    <row r="44" spans="1:4">
      <c r="A44" t="s">
        <v>15</v>
      </c>
      <c r="B44">
        <f t="shared" si="0"/>
        <v>0</v>
      </c>
      <c r="C44">
        <f t="shared" si="1"/>
        <v>0</v>
      </c>
      <c r="D44">
        <f t="shared" si="2"/>
        <v>1</v>
      </c>
    </row>
    <row r="45" spans="1:4">
      <c r="A45" t="s">
        <v>15</v>
      </c>
      <c r="B45">
        <f t="shared" si="0"/>
        <v>0</v>
      </c>
      <c r="C45">
        <f t="shared" si="1"/>
        <v>0</v>
      </c>
      <c r="D45">
        <f t="shared" si="2"/>
        <v>1</v>
      </c>
    </row>
    <row r="46" spans="1:4">
      <c r="A46" t="s">
        <v>15</v>
      </c>
      <c r="B46">
        <f t="shared" si="0"/>
        <v>0</v>
      </c>
      <c r="C46">
        <f t="shared" si="1"/>
        <v>0</v>
      </c>
      <c r="D46">
        <f t="shared" si="2"/>
        <v>1</v>
      </c>
    </row>
    <row r="47" spans="1:4">
      <c r="A47" t="s">
        <v>15</v>
      </c>
      <c r="B47">
        <f t="shared" si="0"/>
        <v>0</v>
      </c>
      <c r="C47">
        <f t="shared" si="1"/>
        <v>0</v>
      </c>
      <c r="D47">
        <f t="shared" si="2"/>
        <v>1</v>
      </c>
    </row>
    <row r="48" spans="1:4">
      <c r="A48" t="s">
        <v>27</v>
      </c>
      <c r="B48">
        <f t="shared" si="0"/>
        <v>0</v>
      </c>
      <c r="C48">
        <f t="shared" si="1"/>
        <v>0</v>
      </c>
      <c r="D48">
        <f t="shared" si="2"/>
        <v>0</v>
      </c>
    </row>
    <row r="49" spans="1:4">
      <c r="A49" t="s">
        <v>27</v>
      </c>
      <c r="B49">
        <f t="shared" si="0"/>
        <v>0</v>
      </c>
      <c r="C49">
        <f t="shared" si="1"/>
        <v>0</v>
      </c>
      <c r="D49">
        <f t="shared" si="2"/>
        <v>0</v>
      </c>
    </row>
    <row r="50" spans="1:4">
      <c r="A50" t="s">
        <v>27</v>
      </c>
      <c r="B50">
        <f t="shared" si="0"/>
        <v>0</v>
      </c>
      <c r="C50">
        <f t="shared" si="1"/>
        <v>0</v>
      </c>
      <c r="D50">
        <f t="shared" si="2"/>
        <v>0</v>
      </c>
    </row>
    <row r="51" spans="1:4">
      <c r="A51" t="s">
        <v>27</v>
      </c>
      <c r="B51">
        <f t="shared" si="0"/>
        <v>0</v>
      </c>
      <c r="C51">
        <f t="shared" si="1"/>
        <v>0</v>
      </c>
      <c r="D51">
        <f t="shared" si="2"/>
        <v>0</v>
      </c>
    </row>
    <row r="52" spans="1:4">
      <c r="A52" t="s">
        <v>20</v>
      </c>
      <c r="B52">
        <f t="shared" si="0"/>
        <v>1</v>
      </c>
      <c r="C52">
        <f t="shared" si="1"/>
        <v>0</v>
      </c>
      <c r="D52">
        <f t="shared" si="2"/>
        <v>0</v>
      </c>
    </row>
    <row r="53" spans="1:4">
      <c r="A53" t="s">
        <v>20</v>
      </c>
      <c r="B53">
        <f t="shared" si="0"/>
        <v>1</v>
      </c>
      <c r="C53">
        <f t="shared" si="1"/>
        <v>0</v>
      </c>
      <c r="D53">
        <f t="shared" si="2"/>
        <v>0</v>
      </c>
    </row>
    <row r="54" spans="1:4">
      <c r="A54" t="s">
        <v>20</v>
      </c>
      <c r="B54">
        <f t="shared" si="0"/>
        <v>1</v>
      </c>
      <c r="C54">
        <f t="shared" si="1"/>
        <v>0</v>
      </c>
      <c r="D54">
        <f t="shared" si="2"/>
        <v>0</v>
      </c>
    </row>
    <row r="55" spans="1:4">
      <c r="A55" t="s">
        <v>20</v>
      </c>
      <c r="B55">
        <f t="shared" si="0"/>
        <v>1</v>
      </c>
      <c r="C55">
        <f t="shared" si="1"/>
        <v>0</v>
      </c>
      <c r="D55">
        <f t="shared" si="2"/>
        <v>0</v>
      </c>
    </row>
    <row r="56" spans="1:4">
      <c r="A56" t="s">
        <v>27</v>
      </c>
      <c r="B56">
        <f t="shared" si="0"/>
        <v>0</v>
      </c>
      <c r="C56">
        <f t="shared" si="1"/>
        <v>0</v>
      </c>
      <c r="D56">
        <f t="shared" si="2"/>
        <v>0</v>
      </c>
    </row>
    <row r="57" spans="1:4">
      <c r="A57" t="s">
        <v>27</v>
      </c>
      <c r="B57">
        <f t="shared" si="0"/>
        <v>0</v>
      </c>
      <c r="C57">
        <f t="shared" si="1"/>
        <v>0</v>
      </c>
      <c r="D57">
        <f t="shared" si="2"/>
        <v>0</v>
      </c>
    </row>
    <row r="58" spans="1:4">
      <c r="A58" t="s">
        <v>27</v>
      </c>
      <c r="B58">
        <f t="shared" si="0"/>
        <v>0</v>
      </c>
      <c r="C58">
        <f t="shared" si="1"/>
        <v>0</v>
      </c>
      <c r="D58">
        <f t="shared" si="2"/>
        <v>0</v>
      </c>
    </row>
    <row r="59" spans="1:4">
      <c r="A59" t="s">
        <v>27</v>
      </c>
      <c r="B59">
        <f t="shared" si="0"/>
        <v>0</v>
      </c>
      <c r="C59">
        <f t="shared" si="1"/>
        <v>0</v>
      </c>
      <c r="D59">
        <f t="shared" si="2"/>
        <v>0</v>
      </c>
    </row>
    <row r="60" spans="1:4">
      <c r="A60" t="s">
        <v>15</v>
      </c>
      <c r="B60">
        <f t="shared" si="0"/>
        <v>0</v>
      </c>
      <c r="C60">
        <f t="shared" si="1"/>
        <v>0</v>
      </c>
      <c r="D60">
        <f t="shared" si="2"/>
        <v>1</v>
      </c>
    </row>
    <row r="61" spans="1:4">
      <c r="A61" t="s">
        <v>15</v>
      </c>
      <c r="B61">
        <f t="shared" si="0"/>
        <v>0</v>
      </c>
      <c r="C61">
        <f t="shared" si="1"/>
        <v>0</v>
      </c>
      <c r="D61">
        <f t="shared" si="2"/>
        <v>1</v>
      </c>
    </row>
    <row r="62" spans="1:4">
      <c r="A62" t="s">
        <v>15</v>
      </c>
      <c r="B62">
        <f t="shared" si="0"/>
        <v>0</v>
      </c>
      <c r="C62">
        <f t="shared" si="1"/>
        <v>0</v>
      </c>
      <c r="D62">
        <f t="shared" si="2"/>
        <v>1</v>
      </c>
    </row>
    <row r="63" spans="1:4">
      <c r="A63" t="s">
        <v>15</v>
      </c>
      <c r="B63">
        <f t="shared" si="0"/>
        <v>0</v>
      </c>
      <c r="C63">
        <f t="shared" si="1"/>
        <v>0</v>
      </c>
      <c r="D63">
        <f t="shared" si="2"/>
        <v>1</v>
      </c>
    </row>
    <row r="64" spans="1:4">
      <c r="A64" t="s">
        <v>24</v>
      </c>
      <c r="B64">
        <f t="shared" si="0"/>
        <v>0</v>
      </c>
      <c r="C64">
        <f t="shared" si="1"/>
        <v>1</v>
      </c>
      <c r="D64">
        <f t="shared" si="2"/>
        <v>0</v>
      </c>
    </row>
    <row r="65" spans="1:4">
      <c r="A65" t="s">
        <v>24</v>
      </c>
      <c r="B65">
        <f t="shared" si="0"/>
        <v>0</v>
      </c>
      <c r="C65">
        <f t="shared" si="1"/>
        <v>1</v>
      </c>
      <c r="D65">
        <f t="shared" si="2"/>
        <v>0</v>
      </c>
    </row>
    <row r="66" spans="1:4">
      <c r="A66" t="s">
        <v>24</v>
      </c>
      <c r="B66">
        <f t="shared" si="0"/>
        <v>0</v>
      </c>
      <c r="C66">
        <f t="shared" si="1"/>
        <v>1</v>
      </c>
      <c r="D66">
        <f t="shared" si="2"/>
        <v>0</v>
      </c>
    </row>
    <row r="67" spans="1:4">
      <c r="A67" t="s">
        <v>24</v>
      </c>
      <c r="B67">
        <f t="shared" si="0"/>
        <v>0</v>
      </c>
      <c r="C67">
        <f t="shared" si="1"/>
        <v>1</v>
      </c>
      <c r="D67">
        <f t="shared" si="2"/>
        <v>0</v>
      </c>
    </row>
    <row r="68" spans="1:4">
      <c r="A68" t="s">
        <v>27</v>
      </c>
      <c r="B68">
        <f t="shared" si="0"/>
        <v>0</v>
      </c>
      <c r="C68">
        <f t="shared" si="1"/>
        <v>0</v>
      </c>
      <c r="D68">
        <f t="shared" si="2"/>
        <v>0</v>
      </c>
    </row>
    <row r="69" spans="1:4">
      <c r="A69" t="s">
        <v>27</v>
      </c>
      <c r="B69">
        <f t="shared" ref="B69:B132" si="3">IF($A69="North",1,0)</f>
        <v>0</v>
      </c>
      <c r="C69">
        <f t="shared" ref="C69:C132" si="4">IF($A69="South",1,0)</f>
        <v>0</v>
      </c>
      <c r="D69">
        <f t="shared" ref="D69:D132" si="5">IF($A69="East",1,0)</f>
        <v>0</v>
      </c>
    </row>
    <row r="70" spans="1:4">
      <c r="A70" t="s">
        <v>27</v>
      </c>
      <c r="B70">
        <f t="shared" si="3"/>
        <v>0</v>
      </c>
      <c r="C70">
        <f t="shared" si="4"/>
        <v>0</v>
      </c>
      <c r="D70">
        <f t="shared" si="5"/>
        <v>0</v>
      </c>
    </row>
    <row r="71" spans="1:4">
      <c r="A71" t="s">
        <v>27</v>
      </c>
      <c r="B71">
        <f t="shared" si="3"/>
        <v>0</v>
      </c>
      <c r="C71">
        <f t="shared" si="4"/>
        <v>0</v>
      </c>
      <c r="D71">
        <f t="shared" si="5"/>
        <v>0</v>
      </c>
    </row>
    <row r="72" spans="1:4">
      <c r="A72" t="s">
        <v>15</v>
      </c>
      <c r="B72">
        <f t="shared" si="3"/>
        <v>0</v>
      </c>
      <c r="C72">
        <f t="shared" si="4"/>
        <v>0</v>
      </c>
      <c r="D72">
        <f t="shared" si="5"/>
        <v>1</v>
      </c>
    </row>
    <row r="73" spans="1:4">
      <c r="A73" t="s">
        <v>15</v>
      </c>
      <c r="B73">
        <f t="shared" si="3"/>
        <v>0</v>
      </c>
      <c r="C73">
        <f t="shared" si="4"/>
        <v>0</v>
      </c>
      <c r="D73">
        <f t="shared" si="5"/>
        <v>1</v>
      </c>
    </row>
    <row r="74" spans="1:4">
      <c r="A74" t="s">
        <v>15</v>
      </c>
      <c r="B74">
        <f t="shared" si="3"/>
        <v>0</v>
      </c>
      <c r="C74">
        <f t="shared" si="4"/>
        <v>0</v>
      </c>
      <c r="D74">
        <f t="shared" si="5"/>
        <v>1</v>
      </c>
    </row>
    <row r="75" spans="1:4">
      <c r="A75" t="s">
        <v>15</v>
      </c>
      <c r="B75">
        <f t="shared" si="3"/>
        <v>0</v>
      </c>
      <c r="C75">
        <f t="shared" si="4"/>
        <v>0</v>
      </c>
      <c r="D75">
        <f t="shared" si="5"/>
        <v>1</v>
      </c>
    </row>
    <row r="76" spans="1:4">
      <c r="A76" t="s">
        <v>15</v>
      </c>
      <c r="B76">
        <f t="shared" si="3"/>
        <v>0</v>
      </c>
      <c r="C76">
        <f t="shared" si="4"/>
        <v>0</v>
      </c>
      <c r="D76">
        <f t="shared" si="5"/>
        <v>1</v>
      </c>
    </row>
    <row r="77" spans="1:4">
      <c r="A77" t="s">
        <v>15</v>
      </c>
      <c r="B77">
        <f t="shared" si="3"/>
        <v>0</v>
      </c>
      <c r="C77">
        <f t="shared" si="4"/>
        <v>0</v>
      </c>
      <c r="D77">
        <f t="shared" si="5"/>
        <v>1</v>
      </c>
    </row>
    <row r="78" spans="1:4">
      <c r="A78" t="s">
        <v>15</v>
      </c>
      <c r="B78">
        <f t="shared" si="3"/>
        <v>0</v>
      </c>
      <c r="C78">
        <f t="shared" si="4"/>
        <v>0</v>
      </c>
      <c r="D78">
        <f t="shared" si="5"/>
        <v>1</v>
      </c>
    </row>
    <row r="79" spans="1:4">
      <c r="A79" t="s">
        <v>15</v>
      </c>
      <c r="B79">
        <f t="shared" si="3"/>
        <v>0</v>
      </c>
      <c r="C79">
        <f t="shared" si="4"/>
        <v>0</v>
      </c>
      <c r="D79">
        <f t="shared" si="5"/>
        <v>1</v>
      </c>
    </row>
    <row r="80" spans="1:4">
      <c r="A80" t="s">
        <v>24</v>
      </c>
      <c r="B80">
        <f t="shared" si="3"/>
        <v>0</v>
      </c>
      <c r="C80">
        <f t="shared" si="4"/>
        <v>1</v>
      </c>
      <c r="D80">
        <f t="shared" si="5"/>
        <v>0</v>
      </c>
    </row>
    <row r="81" spans="1:4">
      <c r="A81" t="s">
        <v>24</v>
      </c>
      <c r="B81">
        <f t="shared" si="3"/>
        <v>0</v>
      </c>
      <c r="C81">
        <f t="shared" si="4"/>
        <v>1</v>
      </c>
      <c r="D81">
        <f t="shared" si="5"/>
        <v>0</v>
      </c>
    </row>
    <row r="82" spans="1:4">
      <c r="A82" t="s">
        <v>24</v>
      </c>
      <c r="B82">
        <f t="shared" si="3"/>
        <v>0</v>
      </c>
      <c r="C82">
        <f t="shared" si="4"/>
        <v>1</v>
      </c>
      <c r="D82">
        <f t="shared" si="5"/>
        <v>0</v>
      </c>
    </row>
    <row r="83" spans="1:4">
      <c r="A83" t="s">
        <v>24</v>
      </c>
      <c r="B83">
        <f t="shared" si="3"/>
        <v>0</v>
      </c>
      <c r="C83">
        <f t="shared" si="4"/>
        <v>1</v>
      </c>
      <c r="D83">
        <f t="shared" si="5"/>
        <v>0</v>
      </c>
    </row>
    <row r="84" spans="1:4">
      <c r="A84" t="s">
        <v>27</v>
      </c>
      <c r="B84">
        <f t="shared" si="3"/>
        <v>0</v>
      </c>
      <c r="C84">
        <f t="shared" si="4"/>
        <v>0</v>
      </c>
      <c r="D84">
        <f t="shared" si="5"/>
        <v>0</v>
      </c>
    </row>
    <row r="85" spans="1:4">
      <c r="A85" t="s">
        <v>27</v>
      </c>
      <c r="B85">
        <f t="shared" si="3"/>
        <v>0</v>
      </c>
      <c r="C85">
        <f t="shared" si="4"/>
        <v>0</v>
      </c>
      <c r="D85">
        <f t="shared" si="5"/>
        <v>0</v>
      </c>
    </row>
    <row r="86" spans="1:4">
      <c r="A86" t="s">
        <v>27</v>
      </c>
      <c r="B86">
        <f t="shared" si="3"/>
        <v>0</v>
      </c>
      <c r="C86">
        <f t="shared" si="4"/>
        <v>0</v>
      </c>
      <c r="D86">
        <f t="shared" si="5"/>
        <v>0</v>
      </c>
    </row>
    <row r="87" spans="1:4">
      <c r="A87" t="s">
        <v>27</v>
      </c>
      <c r="B87">
        <f t="shared" si="3"/>
        <v>0</v>
      </c>
      <c r="C87">
        <f t="shared" si="4"/>
        <v>0</v>
      </c>
      <c r="D87">
        <f t="shared" si="5"/>
        <v>0</v>
      </c>
    </row>
    <row r="88" spans="1:4">
      <c r="A88" t="s">
        <v>27</v>
      </c>
      <c r="B88">
        <f t="shared" si="3"/>
        <v>0</v>
      </c>
      <c r="C88">
        <f t="shared" si="4"/>
        <v>0</v>
      </c>
      <c r="D88">
        <f t="shared" si="5"/>
        <v>0</v>
      </c>
    </row>
    <row r="89" spans="1:4">
      <c r="A89" t="s">
        <v>27</v>
      </c>
      <c r="B89">
        <f t="shared" si="3"/>
        <v>0</v>
      </c>
      <c r="C89">
        <f t="shared" si="4"/>
        <v>0</v>
      </c>
      <c r="D89">
        <f t="shared" si="5"/>
        <v>0</v>
      </c>
    </row>
    <row r="90" spans="1:4">
      <c r="A90" t="s">
        <v>27</v>
      </c>
      <c r="B90">
        <f t="shared" si="3"/>
        <v>0</v>
      </c>
      <c r="C90">
        <f t="shared" si="4"/>
        <v>0</v>
      </c>
      <c r="D90">
        <f t="shared" si="5"/>
        <v>0</v>
      </c>
    </row>
    <row r="91" spans="1:4">
      <c r="A91" t="s">
        <v>27</v>
      </c>
      <c r="B91">
        <f t="shared" si="3"/>
        <v>0</v>
      </c>
      <c r="C91">
        <f t="shared" si="4"/>
        <v>0</v>
      </c>
      <c r="D91">
        <f t="shared" si="5"/>
        <v>0</v>
      </c>
    </row>
    <row r="92" spans="1:4">
      <c r="A92" t="s">
        <v>24</v>
      </c>
      <c r="B92">
        <f t="shared" si="3"/>
        <v>0</v>
      </c>
      <c r="C92">
        <f t="shared" si="4"/>
        <v>1</v>
      </c>
      <c r="D92">
        <f t="shared" si="5"/>
        <v>0</v>
      </c>
    </row>
    <row r="93" spans="1:4">
      <c r="A93" t="s">
        <v>24</v>
      </c>
      <c r="B93">
        <f t="shared" si="3"/>
        <v>0</v>
      </c>
      <c r="C93">
        <f t="shared" si="4"/>
        <v>1</v>
      </c>
      <c r="D93">
        <f t="shared" si="5"/>
        <v>0</v>
      </c>
    </row>
    <row r="94" spans="1:4">
      <c r="A94" t="s">
        <v>24</v>
      </c>
      <c r="B94">
        <f t="shared" si="3"/>
        <v>0</v>
      </c>
      <c r="C94">
        <f t="shared" si="4"/>
        <v>1</v>
      </c>
      <c r="D94">
        <f t="shared" si="5"/>
        <v>0</v>
      </c>
    </row>
    <row r="95" spans="1:4">
      <c r="A95" t="s">
        <v>24</v>
      </c>
      <c r="B95">
        <f t="shared" si="3"/>
        <v>0</v>
      </c>
      <c r="C95">
        <f t="shared" si="4"/>
        <v>1</v>
      </c>
      <c r="D95">
        <f t="shared" si="5"/>
        <v>0</v>
      </c>
    </row>
    <row r="96" spans="1:4">
      <c r="A96" t="s">
        <v>27</v>
      </c>
      <c r="B96">
        <f t="shared" si="3"/>
        <v>0</v>
      </c>
      <c r="C96">
        <f t="shared" si="4"/>
        <v>0</v>
      </c>
      <c r="D96">
        <f t="shared" si="5"/>
        <v>0</v>
      </c>
    </row>
    <row r="97" spans="1:4">
      <c r="A97" t="s">
        <v>27</v>
      </c>
      <c r="B97">
        <f t="shared" si="3"/>
        <v>0</v>
      </c>
      <c r="C97">
        <f t="shared" si="4"/>
        <v>0</v>
      </c>
      <c r="D97">
        <f t="shared" si="5"/>
        <v>0</v>
      </c>
    </row>
    <row r="98" spans="1:4">
      <c r="A98" t="s">
        <v>27</v>
      </c>
      <c r="B98">
        <f t="shared" si="3"/>
        <v>0</v>
      </c>
      <c r="C98">
        <f t="shared" si="4"/>
        <v>0</v>
      </c>
      <c r="D98">
        <f t="shared" si="5"/>
        <v>0</v>
      </c>
    </row>
    <row r="99" spans="1:4">
      <c r="A99" t="s">
        <v>27</v>
      </c>
      <c r="B99">
        <f t="shared" si="3"/>
        <v>0</v>
      </c>
      <c r="C99">
        <f t="shared" si="4"/>
        <v>0</v>
      </c>
      <c r="D99">
        <f t="shared" si="5"/>
        <v>0</v>
      </c>
    </row>
    <row r="100" spans="1:4">
      <c r="A100" t="s">
        <v>27</v>
      </c>
      <c r="B100">
        <f t="shared" si="3"/>
        <v>0</v>
      </c>
      <c r="C100">
        <f t="shared" si="4"/>
        <v>0</v>
      </c>
      <c r="D100">
        <f t="shared" si="5"/>
        <v>0</v>
      </c>
    </row>
    <row r="101" spans="1:4">
      <c r="A101" t="s">
        <v>27</v>
      </c>
      <c r="B101">
        <f t="shared" si="3"/>
        <v>0</v>
      </c>
      <c r="C101">
        <f t="shared" si="4"/>
        <v>0</v>
      </c>
      <c r="D101">
        <f t="shared" si="5"/>
        <v>0</v>
      </c>
    </row>
    <row r="102" spans="1:4">
      <c r="A102" t="s">
        <v>27</v>
      </c>
      <c r="B102">
        <f t="shared" si="3"/>
        <v>0</v>
      </c>
      <c r="C102">
        <f t="shared" si="4"/>
        <v>0</v>
      </c>
      <c r="D102">
        <f t="shared" si="5"/>
        <v>0</v>
      </c>
    </row>
    <row r="103" spans="1:4">
      <c r="A103" t="s">
        <v>27</v>
      </c>
      <c r="B103">
        <f t="shared" si="3"/>
        <v>0</v>
      </c>
      <c r="C103">
        <f t="shared" si="4"/>
        <v>0</v>
      </c>
      <c r="D103">
        <f t="shared" si="5"/>
        <v>0</v>
      </c>
    </row>
    <row r="104" spans="1:4">
      <c r="A104" t="s">
        <v>15</v>
      </c>
      <c r="B104">
        <f t="shared" si="3"/>
        <v>0</v>
      </c>
      <c r="C104">
        <f t="shared" si="4"/>
        <v>0</v>
      </c>
      <c r="D104">
        <f t="shared" si="5"/>
        <v>1</v>
      </c>
    </row>
    <row r="105" spans="1:4">
      <c r="A105" t="s">
        <v>15</v>
      </c>
      <c r="B105">
        <f t="shared" si="3"/>
        <v>0</v>
      </c>
      <c r="C105">
        <f t="shared" si="4"/>
        <v>0</v>
      </c>
      <c r="D105">
        <f t="shared" si="5"/>
        <v>1</v>
      </c>
    </row>
    <row r="106" spans="1:4">
      <c r="A106" t="s">
        <v>15</v>
      </c>
      <c r="B106">
        <f t="shared" si="3"/>
        <v>0</v>
      </c>
      <c r="C106">
        <f t="shared" si="4"/>
        <v>0</v>
      </c>
      <c r="D106">
        <f t="shared" si="5"/>
        <v>1</v>
      </c>
    </row>
    <row r="107" spans="1:4">
      <c r="A107" t="s">
        <v>15</v>
      </c>
      <c r="B107">
        <f t="shared" si="3"/>
        <v>0</v>
      </c>
      <c r="C107">
        <f t="shared" si="4"/>
        <v>0</v>
      </c>
      <c r="D107">
        <f t="shared" si="5"/>
        <v>1</v>
      </c>
    </row>
    <row r="108" spans="1:4">
      <c r="A108" t="s">
        <v>27</v>
      </c>
      <c r="B108">
        <f t="shared" si="3"/>
        <v>0</v>
      </c>
      <c r="C108">
        <f t="shared" si="4"/>
        <v>0</v>
      </c>
      <c r="D108">
        <f t="shared" si="5"/>
        <v>0</v>
      </c>
    </row>
    <row r="109" spans="1:4">
      <c r="A109" t="s">
        <v>27</v>
      </c>
      <c r="B109">
        <f t="shared" si="3"/>
        <v>0</v>
      </c>
      <c r="C109">
        <f t="shared" si="4"/>
        <v>0</v>
      </c>
      <c r="D109">
        <f t="shared" si="5"/>
        <v>0</v>
      </c>
    </row>
    <row r="110" spans="1:4">
      <c r="A110" t="s">
        <v>27</v>
      </c>
      <c r="B110">
        <f t="shared" si="3"/>
        <v>0</v>
      </c>
      <c r="C110">
        <f t="shared" si="4"/>
        <v>0</v>
      </c>
      <c r="D110">
        <f t="shared" si="5"/>
        <v>0</v>
      </c>
    </row>
    <row r="111" spans="1:4">
      <c r="A111" t="s">
        <v>27</v>
      </c>
      <c r="B111">
        <f t="shared" si="3"/>
        <v>0</v>
      </c>
      <c r="C111">
        <f t="shared" si="4"/>
        <v>0</v>
      </c>
      <c r="D111">
        <f t="shared" si="5"/>
        <v>0</v>
      </c>
    </row>
    <row r="112" spans="1:4">
      <c r="A112" t="s">
        <v>15</v>
      </c>
      <c r="B112">
        <f t="shared" si="3"/>
        <v>0</v>
      </c>
      <c r="C112">
        <f t="shared" si="4"/>
        <v>0</v>
      </c>
      <c r="D112">
        <f t="shared" si="5"/>
        <v>1</v>
      </c>
    </row>
    <row r="113" spans="1:4">
      <c r="A113" t="s">
        <v>15</v>
      </c>
      <c r="B113">
        <f t="shared" si="3"/>
        <v>0</v>
      </c>
      <c r="C113">
        <f t="shared" si="4"/>
        <v>0</v>
      </c>
      <c r="D113">
        <f t="shared" si="5"/>
        <v>1</v>
      </c>
    </row>
    <row r="114" spans="1:4">
      <c r="A114" t="s">
        <v>15</v>
      </c>
      <c r="B114">
        <f t="shared" si="3"/>
        <v>0</v>
      </c>
      <c r="C114">
        <f t="shared" si="4"/>
        <v>0</v>
      </c>
      <c r="D114">
        <f t="shared" si="5"/>
        <v>1</v>
      </c>
    </row>
    <row r="115" spans="1:4">
      <c r="A115" t="s">
        <v>15</v>
      </c>
      <c r="B115">
        <f t="shared" si="3"/>
        <v>0</v>
      </c>
      <c r="C115">
        <f t="shared" si="4"/>
        <v>0</v>
      </c>
      <c r="D115">
        <f t="shared" si="5"/>
        <v>1</v>
      </c>
    </row>
    <row r="116" spans="1:4">
      <c r="A116" t="s">
        <v>27</v>
      </c>
      <c r="B116">
        <f t="shared" si="3"/>
        <v>0</v>
      </c>
      <c r="C116">
        <f t="shared" si="4"/>
        <v>0</v>
      </c>
      <c r="D116">
        <f t="shared" si="5"/>
        <v>0</v>
      </c>
    </row>
    <row r="117" spans="1:4">
      <c r="A117" t="s">
        <v>27</v>
      </c>
      <c r="B117">
        <f t="shared" si="3"/>
        <v>0</v>
      </c>
      <c r="C117">
        <f t="shared" si="4"/>
        <v>0</v>
      </c>
      <c r="D117">
        <f t="shared" si="5"/>
        <v>0</v>
      </c>
    </row>
    <row r="118" spans="1:4">
      <c r="A118" t="s">
        <v>27</v>
      </c>
      <c r="B118">
        <f t="shared" si="3"/>
        <v>0</v>
      </c>
      <c r="C118">
        <f t="shared" si="4"/>
        <v>0</v>
      </c>
      <c r="D118">
        <f t="shared" si="5"/>
        <v>0</v>
      </c>
    </row>
    <row r="119" spans="1:4">
      <c r="A119" t="s">
        <v>27</v>
      </c>
      <c r="B119">
        <f t="shared" si="3"/>
        <v>0</v>
      </c>
      <c r="C119">
        <f t="shared" si="4"/>
        <v>0</v>
      </c>
      <c r="D119">
        <f t="shared" si="5"/>
        <v>0</v>
      </c>
    </row>
    <row r="120" spans="1:4">
      <c r="A120" t="s">
        <v>27</v>
      </c>
      <c r="B120">
        <f t="shared" si="3"/>
        <v>0</v>
      </c>
      <c r="C120">
        <f t="shared" si="4"/>
        <v>0</v>
      </c>
      <c r="D120">
        <f t="shared" si="5"/>
        <v>0</v>
      </c>
    </row>
    <row r="121" spans="1:4">
      <c r="A121" t="s">
        <v>27</v>
      </c>
      <c r="B121">
        <f t="shared" si="3"/>
        <v>0</v>
      </c>
      <c r="C121">
        <f t="shared" si="4"/>
        <v>0</v>
      </c>
      <c r="D121">
        <f t="shared" si="5"/>
        <v>0</v>
      </c>
    </row>
    <row r="122" spans="1:4">
      <c r="A122" t="s">
        <v>27</v>
      </c>
      <c r="B122">
        <f t="shared" si="3"/>
        <v>0</v>
      </c>
      <c r="C122">
        <f t="shared" si="4"/>
        <v>0</v>
      </c>
      <c r="D122">
        <f t="shared" si="5"/>
        <v>0</v>
      </c>
    </row>
    <row r="123" spans="1:4">
      <c r="A123" t="s">
        <v>27</v>
      </c>
      <c r="B123">
        <f t="shared" si="3"/>
        <v>0</v>
      </c>
      <c r="C123">
        <f t="shared" si="4"/>
        <v>0</v>
      </c>
      <c r="D123">
        <f t="shared" si="5"/>
        <v>0</v>
      </c>
    </row>
    <row r="124" spans="1:4">
      <c r="A124" t="s">
        <v>20</v>
      </c>
      <c r="B124">
        <f t="shared" si="3"/>
        <v>1</v>
      </c>
      <c r="C124">
        <f t="shared" si="4"/>
        <v>0</v>
      </c>
      <c r="D124">
        <f t="shared" si="5"/>
        <v>0</v>
      </c>
    </row>
    <row r="125" spans="1:4">
      <c r="A125" t="s">
        <v>20</v>
      </c>
      <c r="B125">
        <f t="shared" si="3"/>
        <v>1</v>
      </c>
      <c r="C125">
        <f t="shared" si="4"/>
        <v>0</v>
      </c>
      <c r="D125">
        <f t="shared" si="5"/>
        <v>0</v>
      </c>
    </row>
    <row r="126" spans="1:4">
      <c r="A126" t="s">
        <v>20</v>
      </c>
      <c r="B126">
        <f t="shared" si="3"/>
        <v>1</v>
      </c>
      <c r="C126">
        <f t="shared" si="4"/>
        <v>0</v>
      </c>
      <c r="D126">
        <f t="shared" si="5"/>
        <v>0</v>
      </c>
    </row>
    <row r="127" spans="1:4">
      <c r="A127" t="s">
        <v>20</v>
      </c>
      <c r="B127">
        <f t="shared" si="3"/>
        <v>1</v>
      </c>
      <c r="C127">
        <f t="shared" si="4"/>
        <v>0</v>
      </c>
      <c r="D127">
        <f t="shared" si="5"/>
        <v>0</v>
      </c>
    </row>
    <row r="128" spans="1:4">
      <c r="A128" t="s">
        <v>24</v>
      </c>
      <c r="B128">
        <f t="shared" si="3"/>
        <v>0</v>
      </c>
      <c r="C128">
        <f t="shared" si="4"/>
        <v>1</v>
      </c>
      <c r="D128">
        <f t="shared" si="5"/>
        <v>0</v>
      </c>
    </row>
    <row r="129" spans="1:4">
      <c r="A129" t="s">
        <v>24</v>
      </c>
      <c r="B129">
        <f t="shared" si="3"/>
        <v>0</v>
      </c>
      <c r="C129">
        <f t="shared" si="4"/>
        <v>1</v>
      </c>
      <c r="D129">
        <f t="shared" si="5"/>
        <v>0</v>
      </c>
    </row>
    <row r="130" spans="1:4">
      <c r="A130" t="s">
        <v>24</v>
      </c>
      <c r="B130">
        <f t="shared" si="3"/>
        <v>0</v>
      </c>
      <c r="C130">
        <f t="shared" si="4"/>
        <v>1</v>
      </c>
      <c r="D130">
        <f t="shared" si="5"/>
        <v>0</v>
      </c>
    </row>
    <row r="131" spans="1:4">
      <c r="A131" t="s">
        <v>24</v>
      </c>
      <c r="B131">
        <f t="shared" si="3"/>
        <v>0</v>
      </c>
      <c r="C131">
        <f t="shared" si="4"/>
        <v>1</v>
      </c>
      <c r="D131">
        <f t="shared" si="5"/>
        <v>0</v>
      </c>
    </row>
    <row r="132" spans="1:4">
      <c r="A132" t="s">
        <v>15</v>
      </c>
      <c r="B132">
        <f t="shared" si="3"/>
        <v>0</v>
      </c>
      <c r="C132">
        <f t="shared" si="4"/>
        <v>0</v>
      </c>
      <c r="D132">
        <f t="shared" si="5"/>
        <v>1</v>
      </c>
    </row>
    <row r="133" spans="1:4">
      <c r="A133" t="s">
        <v>15</v>
      </c>
      <c r="B133">
        <f t="shared" ref="B133:B196" si="6">IF($A133="North",1,0)</f>
        <v>0</v>
      </c>
      <c r="C133">
        <f t="shared" ref="C133:C196" si="7">IF($A133="South",1,0)</f>
        <v>0</v>
      </c>
      <c r="D133">
        <f t="shared" ref="D133:D196" si="8">IF($A133="East",1,0)</f>
        <v>1</v>
      </c>
    </row>
    <row r="134" spans="1:4">
      <c r="A134" t="s">
        <v>15</v>
      </c>
      <c r="B134">
        <f t="shared" si="6"/>
        <v>0</v>
      </c>
      <c r="C134">
        <f t="shared" si="7"/>
        <v>0</v>
      </c>
      <c r="D134">
        <f t="shared" si="8"/>
        <v>1</v>
      </c>
    </row>
    <row r="135" spans="1:4">
      <c r="A135" t="s">
        <v>15</v>
      </c>
      <c r="B135">
        <f t="shared" si="6"/>
        <v>0</v>
      </c>
      <c r="C135">
        <f t="shared" si="7"/>
        <v>0</v>
      </c>
      <c r="D135">
        <f t="shared" si="8"/>
        <v>1</v>
      </c>
    </row>
    <row r="136" spans="1:4">
      <c r="A136" t="s">
        <v>20</v>
      </c>
      <c r="B136">
        <f t="shared" si="6"/>
        <v>1</v>
      </c>
      <c r="C136">
        <f t="shared" si="7"/>
        <v>0</v>
      </c>
      <c r="D136">
        <f t="shared" si="8"/>
        <v>0</v>
      </c>
    </row>
    <row r="137" spans="1:4">
      <c r="A137" t="s">
        <v>20</v>
      </c>
      <c r="B137">
        <f t="shared" si="6"/>
        <v>1</v>
      </c>
      <c r="C137">
        <f t="shared" si="7"/>
        <v>0</v>
      </c>
      <c r="D137">
        <f t="shared" si="8"/>
        <v>0</v>
      </c>
    </row>
    <row r="138" spans="1:4">
      <c r="A138" t="s">
        <v>20</v>
      </c>
      <c r="B138">
        <f t="shared" si="6"/>
        <v>1</v>
      </c>
      <c r="C138">
        <f t="shared" si="7"/>
        <v>0</v>
      </c>
      <c r="D138">
        <f t="shared" si="8"/>
        <v>0</v>
      </c>
    </row>
    <row r="139" spans="1:4">
      <c r="A139" t="s">
        <v>20</v>
      </c>
      <c r="B139">
        <f t="shared" si="6"/>
        <v>1</v>
      </c>
      <c r="C139">
        <f t="shared" si="7"/>
        <v>0</v>
      </c>
      <c r="D139">
        <f t="shared" si="8"/>
        <v>0</v>
      </c>
    </row>
    <row r="140" spans="1:4">
      <c r="A140" t="s">
        <v>24</v>
      </c>
      <c r="B140">
        <f t="shared" si="6"/>
        <v>0</v>
      </c>
      <c r="C140">
        <f t="shared" si="7"/>
        <v>1</v>
      </c>
      <c r="D140">
        <f t="shared" si="8"/>
        <v>0</v>
      </c>
    </row>
    <row r="141" spans="1:4">
      <c r="A141" t="s">
        <v>24</v>
      </c>
      <c r="B141">
        <f t="shared" si="6"/>
        <v>0</v>
      </c>
      <c r="C141">
        <f t="shared" si="7"/>
        <v>1</v>
      </c>
      <c r="D141">
        <f t="shared" si="8"/>
        <v>0</v>
      </c>
    </row>
    <row r="142" spans="1:4">
      <c r="A142" t="s">
        <v>24</v>
      </c>
      <c r="B142">
        <f t="shared" si="6"/>
        <v>0</v>
      </c>
      <c r="C142">
        <f t="shared" si="7"/>
        <v>1</v>
      </c>
      <c r="D142">
        <f t="shared" si="8"/>
        <v>0</v>
      </c>
    </row>
    <row r="143" spans="1:4">
      <c r="A143" t="s">
        <v>24</v>
      </c>
      <c r="B143">
        <f t="shared" si="6"/>
        <v>0</v>
      </c>
      <c r="C143">
        <f t="shared" si="7"/>
        <v>1</v>
      </c>
      <c r="D143">
        <f t="shared" si="8"/>
        <v>0</v>
      </c>
    </row>
    <row r="144" spans="1:4">
      <c r="A144" t="s">
        <v>27</v>
      </c>
      <c r="B144">
        <f t="shared" si="6"/>
        <v>0</v>
      </c>
      <c r="C144">
        <f t="shared" si="7"/>
        <v>0</v>
      </c>
      <c r="D144">
        <f t="shared" si="8"/>
        <v>0</v>
      </c>
    </row>
    <row r="145" spans="1:4">
      <c r="A145" t="s">
        <v>27</v>
      </c>
      <c r="B145">
        <f t="shared" si="6"/>
        <v>0</v>
      </c>
      <c r="C145">
        <f t="shared" si="7"/>
        <v>0</v>
      </c>
      <c r="D145">
        <f t="shared" si="8"/>
        <v>0</v>
      </c>
    </row>
    <row r="146" spans="1:4">
      <c r="A146" t="s">
        <v>27</v>
      </c>
      <c r="B146">
        <f t="shared" si="6"/>
        <v>0</v>
      </c>
      <c r="C146">
        <f t="shared" si="7"/>
        <v>0</v>
      </c>
      <c r="D146">
        <f t="shared" si="8"/>
        <v>0</v>
      </c>
    </row>
    <row r="147" spans="1:4">
      <c r="A147" t="s">
        <v>27</v>
      </c>
      <c r="B147">
        <f t="shared" si="6"/>
        <v>0</v>
      </c>
      <c r="C147">
        <f t="shared" si="7"/>
        <v>0</v>
      </c>
      <c r="D147">
        <f t="shared" si="8"/>
        <v>0</v>
      </c>
    </row>
    <row r="148" spans="1:4">
      <c r="A148" t="s">
        <v>20</v>
      </c>
      <c r="B148">
        <f t="shared" si="6"/>
        <v>1</v>
      </c>
      <c r="C148">
        <f t="shared" si="7"/>
        <v>0</v>
      </c>
      <c r="D148">
        <f t="shared" si="8"/>
        <v>0</v>
      </c>
    </row>
    <row r="149" spans="1:4">
      <c r="A149" t="s">
        <v>20</v>
      </c>
      <c r="B149">
        <f t="shared" si="6"/>
        <v>1</v>
      </c>
      <c r="C149">
        <f t="shared" si="7"/>
        <v>0</v>
      </c>
      <c r="D149">
        <f t="shared" si="8"/>
        <v>0</v>
      </c>
    </row>
    <row r="150" spans="1:4">
      <c r="A150" t="s">
        <v>20</v>
      </c>
      <c r="B150">
        <f t="shared" si="6"/>
        <v>1</v>
      </c>
      <c r="C150">
        <f t="shared" si="7"/>
        <v>0</v>
      </c>
      <c r="D150">
        <f t="shared" si="8"/>
        <v>0</v>
      </c>
    </row>
    <row r="151" spans="1:4">
      <c r="A151" t="s">
        <v>20</v>
      </c>
      <c r="B151">
        <f t="shared" si="6"/>
        <v>1</v>
      </c>
      <c r="C151">
        <f t="shared" si="7"/>
        <v>0</v>
      </c>
      <c r="D151">
        <f t="shared" si="8"/>
        <v>0</v>
      </c>
    </row>
    <row r="152" spans="1:4">
      <c r="A152" t="s">
        <v>24</v>
      </c>
      <c r="B152">
        <f t="shared" si="6"/>
        <v>0</v>
      </c>
      <c r="C152">
        <f t="shared" si="7"/>
        <v>1</v>
      </c>
      <c r="D152">
        <f t="shared" si="8"/>
        <v>0</v>
      </c>
    </row>
    <row r="153" spans="1:4">
      <c r="A153" t="s">
        <v>24</v>
      </c>
      <c r="B153">
        <f t="shared" si="6"/>
        <v>0</v>
      </c>
      <c r="C153">
        <f t="shared" si="7"/>
        <v>1</v>
      </c>
      <c r="D153">
        <f t="shared" si="8"/>
        <v>0</v>
      </c>
    </row>
    <row r="154" spans="1:4">
      <c r="A154" t="s">
        <v>24</v>
      </c>
      <c r="B154">
        <f t="shared" si="6"/>
        <v>0</v>
      </c>
      <c r="C154">
        <f t="shared" si="7"/>
        <v>1</v>
      </c>
      <c r="D154">
        <f t="shared" si="8"/>
        <v>0</v>
      </c>
    </row>
    <row r="155" spans="1:4">
      <c r="A155" t="s">
        <v>24</v>
      </c>
      <c r="B155">
        <f t="shared" si="6"/>
        <v>0</v>
      </c>
      <c r="C155">
        <f t="shared" si="7"/>
        <v>1</v>
      </c>
      <c r="D155">
        <f t="shared" si="8"/>
        <v>0</v>
      </c>
    </row>
    <row r="156" spans="1:4">
      <c r="A156" t="s">
        <v>15</v>
      </c>
      <c r="B156">
        <f t="shared" si="6"/>
        <v>0</v>
      </c>
      <c r="C156">
        <f t="shared" si="7"/>
        <v>0</v>
      </c>
      <c r="D156">
        <f t="shared" si="8"/>
        <v>1</v>
      </c>
    </row>
    <row r="157" spans="1:4">
      <c r="A157" t="s">
        <v>15</v>
      </c>
      <c r="B157">
        <f t="shared" si="6"/>
        <v>0</v>
      </c>
      <c r="C157">
        <f t="shared" si="7"/>
        <v>0</v>
      </c>
      <c r="D157">
        <f t="shared" si="8"/>
        <v>1</v>
      </c>
    </row>
    <row r="158" spans="1:4">
      <c r="A158" t="s">
        <v>15</v>
      </c>
      <c r="B158">
        <f t="shared" si="6"/>
        <v>0</v>
      </c>
      <c r="C158">
        <f t="shared" si="7"/>
        <v>0</v>
      </c>
      <c r="D158">
        <f t="shared" si="8"/>
        <v>1</v>
      </c>
    </row>
    <row r="159" spans="1:4">
      <c r="A159" t="s">
        <v>15</v>
      </c>
      <c r="B159">
        <f t="shared" si="6"/>
        <v>0</v>
      </c>
      <c r="C159">
        <f t="shared" si="7"/>
        <v>0</v>
      </c>
      <c r="D159">
        <f t="shared" si="8"/>
        <v>1</v>
      </c>
    </row>
    <row r="160" spans="1:4">
      <c r="A160" t="s">
        <v>20</v>
      </c>
      <c r="B160">
        <f t="shared" si="6"/>
        <v>1</v>
      </c>
      <c r="C160">
        <f t="shared" si="7"/>
        <v>0</v>
      </c>
      <c r="D160">
        <f t="shared" si="8"/>
        <v>0</v>
      </c>
    </row>
    <row r="161" spans="1:4">
      <c r="A161" t="s">
        <v>20</v>
      </c>
      <c r="B161">
        <f t="shared" si="6"/>
        <v>1</v>
      </c>
      <c r="C161">
        <f t="shared" si="7"/>
        <v>0</v>
      </c>
      <c r="D161">
        <f t="shared" si="8"/>
        <v>0</v>
      </c>
    </row>
    <row r="162" spans="1:4">
      <c r="A162" t="s">
        <v>20</v>
      </c>
      <c r="B162">
        <f t="shared" si="6"/>
        <v>1</v>
      </c>
      <c r="C162">
        <f t="shared" si="7"/>
        <v>0</v>
      </c>
      <c r="D162">
        <f t="shared" si="8"/>
        <v>0</v>
      </c>
    </row>
    <row r="163" spans="1:4">
      <c r="A163" t="s">
        <v>20</v>
      </c>
      <c r="B163">
        <f t="shared" si="6"/>
        <v>1</v>
      </c>
      <c r="C163">
        <f t="shared" si="7"/>
        <v>0</v>
      </c>
      <c r="D163">
        <f t="shared" si="8"/>
        <v>0</v>
      </c>
    </row>
    <row r="164" spans="1:4">
      <c r="A164" t="s">
        <v>24</v>
      </c>
      <c r="B164">
        <f t="shared" si="6"/>
        <v>0</v>
      </c>
      <c r="C164">
        <f t="shared" si="7"/>
        <v>1</v>
      </c>
      <c r="D164">
        <f t="shared" si="8"/>
        <v>0</v>
      </c>
    </row>
    <row r="165" spans="1:4">
      <c r="A165" t="s">
        <v>24</v>
      </c>
      <c r="B165">
        <f t="shared" si="6"/>
        <v>0</v>
      </c>
      <c r="C165">
        <f t="shared" si="7"/>
        <v>1</v>
      </c>
      <c r="D165">
        <f t="shared" si="8"/>
        <v>0</v>
      </c>
    </row>
    <row r="166" spans="1:4">
      <c r="A166" t="s">
        <v>24</v>
      </c>
      <c r="B166">
        <f t="shared" si="6"/>
        <v>0</v>
      </c>
      <c r="C166">
        <f t="shared" si="7"/>
        <v>1</v>
      </c>
      <c r="D166">
        <f t="shared" si="8"/>
        <v>0</v>
      </c>
    </row>
    <row r="167" spans="1:4">
      <c r="A167" t="s">
        <v>24</v>
      </c>
      <c r="B167">
        <f t="shared" si="6"/>
        <v>0</v>
      </c>
      <c r="C167">
        <f t="shared" si="7"/>
        <v>1</v>
      </c>
      <c r="D167">
        <f t="shared" si="8"/>
        <v>0</v>
      </c>
    </row>
    <row r="168" spans="1:4">
      <c r="A168" t="s">
        <v>20</v>
      </c>
      <c r="B168">
        <f t="shared" si="6"/>
        <v>1</v>
      </c>
      <c r="C168">
        <f t="shared" si="7"/>
        <v>0</v>
      </c>
      <c r="D168">
        <f t="shared" si="8"/>
        <v>0</v>
      </c>
    </row>
    <row r="169" spans="1:4">
      <c r="A169" t="s">
        <v>20</v>
      </c>
      <c r="B169">
        <f t="shared" si="6"/>
        <v>1</v>
      </c>
      <c r="C169">
        <f t="shared" si="7"/>
        <v>0</v>
      </c>
      <c r="D169">
        <f t="shared" si="8"/>
        <v>0</v>
      </c>
    </row>
    <row r="170" spans="1:4">
      <c r="A170" t="s">
        <v>20</v>
      </c>
      <c r="B170">
        <f t="shared" si="6"/>
        <v>1</v>
      </c>
      <c r="C170">
        <f t="shared" si="7"/>
        <v>0</v>
      </c>
      <c r="D170">
        <f t="shared" si="8"/>
        <v>0</v>
      </c>
    </row>
    <row r="171" spans="1:4">
      <c r="A171" t="s">
        <v>20</v>
      </c>
      <c r="B171">
        <f t="shared" si="6"/>
        <v>1</v>
      </c>
      <c r="C171">
        <f t="shared" si="7"/>
        <v>0</v>
      </c>
      <c r="D171">
        <f t="shared" si="8"/>
        <v>0</v>
      </c>
    </row>
    <row r="172" spans="1:4">
      <c r="A172" t="s">
        <v>15</v>
      </c>
      <c r="B172">
        <f t="shared" si="6"/>
        <v>0</v>
      </c>
      <c r="C172">
        <f t="shared" si="7"/>
        <v>0</v>
      </c>
      <c r="D172">
        <f t="shared" si="8"/>
        <v>1</v>
      </c>
    </row>
    <row r="173" spans="1:4">
      <c r="A173" t="s">
        <v>15</v>
      </c>
      <c r="B173">
        <f t="shared" si="6"/>
        <v>0</v>
      </c>
      <c r="C173">
        <f t="shared" si="7"/>
        <v>0</v>
      </c>
      <c r="D173">
        <f t="shared" si="8"/>
        <v>1</v>
      </c>
    </row>
    <row r="174" spans="1:4">
      <c r="A174" t="s">
        <v>15</v>
      </c>
      <c r="B174">
        <f t="shared" si="6"/>
        <v>0</v>
      </c>
      <c r="C174">
        <f t="shared" si="7"/>
        <v>0</v>
      </c>
      <c r="D174">
        <f t="shared" si="8"/>
        <v>1</v>
      </c>
    </row>
    <row r="175" spans="1:4">
      <c r="A175" t="s">
        <v>15</v>
      </c>
      <c r="B175">
        <f t="shared" si="6"/>
        <v>0</v>
      </c>
      <c r="C175">
        <f t="shared" si="7"/>
        <v>0</v>
      </c>
      <c r="D175">
        <f t="shared" si="8"/>
        <v>1</v>
      </c>
    </row>
    <row r="176" spans="1:4">
      <c r="A176" t="s">
        <v>15</v>
      </c>
      <c r="B176">
        <f t="shared" si="6"/>
        <v>0</v>
      </c>
      <c r="C176">
        <f t="shared" si="7"/>
        <v>0</v>
      </c>
      <c r="D176">
        <f t="shared" si="8"/>
        <v>1</v>
      </c>
    </row>
    <row r="177" spans="1:4">
      <c r="A177" t="s">
        <v>15</v>
      </c>
      <c r="B177">
        <f t="shared" si="6"/>
        <v>0</v>
      </c>
      <c r="C177">
        <f t="shared" si="7"/>
        <v>0</v>
      </c>
      <c r="D177">
        <f t="shared" si="8"/>
        <v>1</v>
      </c>
    </row>
    <row r="178" spans="1:4">
      <c r="A178" t="s">
        <v>15</v>
      </c>
      <c r="B178">
        <f t="shared" si="6"/>
        <v>0</v>
      </c>
      <c r="C178">
        <f t="shared" si="7"/>
        <v>0</v>
      </c>
      <c r="D178">
        <f t="shared" si="8"/>
        <v>1</v>
      </c>
    </row>
    <row r="179" spans="1:4">
      <c r="A179" t="s">
        <v>15</v>
      </c>
      <c r="B179">
        <f t="shared" si="6"/>
        <v>0</v>
      </c>
      <c r="C179">
        <f t="shared" si="7"/>
        <v>0</v>
      </c>
      <c r="D179">
        <f t="shared" si="8"/>
        <v>1</v>
      </c>
    </row>
    <row r="180" spans="1:4">
      <c r="A180" t="s">
        <v>27</v>
      </c>
      <c r="B180">
        <f t="shared" si="6"/>
        <v>0</v>
      </c>
      <c r="C180">
        <f t="shared" si="7"/>
        <v>0</v>
      </c>
      <c r="D180">
        <f t="shared" si="8"/>
        <v>0</v>
      </c>
    </row>
    <row r="181" spans="1:4">
      <c r="A181" t="s">
        <v>27</v>
      </c>
      <c r="B181">
        <f t="shared" si="6"/>
        <v>0</v>
      </c>
      <c r="C181">
        <f t="shared" si="7"/>
        <v>0</v>
      </c>
      <c r="D181">
        <f t="shared" si="8"/>
        <v>0</v>
      </c>
    </row>
    <row r="182" spans="1:4">
      <c r="A182" t="s">
        <v>27</v>
      </c>
      <c r="B182">
        <f t="shared" si="6"/>
        <v>0</v>
      </c>
      <c r="C182">
        <f t="shared" si="7"/>
        <v>0</v>
      </c>
      <c r="D182">
        <f t="shared" si="8"/>
        <v>0</v>
      </c>
    </row>
    <row r="183" spans="1:4">
      <c r="A183" t="s">
        <v>27</v>
      </c>
      <c r="B183">
        <f t="shared" si="6"/>
        <v>0</v>
      </c>
      <c r="C183">
        <f t="shared" si="7"/>
        <v>0</v>
      </c>
      <c r="D183">
        <f t="shared" si="8"/>
        <v>0</v>
      </c>
    </row>
    <row r="184" spans="1:4">
      <c r="A184" t="s">
        <v>27</v>
      </c>
      <c r="B184">
        <f t="shared" si="6"/>
        <v>0</v>
      </c>
      <c r="C184">
        <f t="shared" si="7"/>
        <v>0</v>
      </c>
      <c r="D184">
        <f t="shared" si="8"/>
        <v>0</v>
      </c>
    </row>
    <row r="185" spans="1:4">
      <c r="A185" t="s">
        <v>27</v>
      </c>
      <c r="B185">
        <f t="shared" si="6"/>
        <v>0</v>
      </c>
      <c r="C185">
        <f t="shared" si="7"/>
        <v>0</v>
      </c>
      <c r="D185">
        <f t="shared" si="8"/>
        <v>0</v>
      </c>
    </row>
    <row r="186" spans="1:4">
      <c r="A186" t="s">
        <v>27</v>
      </c>
      <c r="B186">
        <f t="shared" si="6"/>
        <v>0</v>
      </c>
      <c r="C186">
        <f t="shared" si="7"/>
        <v>0</v>
      </c>
      <c r="D186">
        <f t="shared" si="8"/>
        <v>0</v>
      </c>
    </row>
    <row r="187" spans="1:4">
      <c r="A187" t="s">
        <v>27</v>
      </c>
      <c r="B187">
        <f t="shared" si="6"/>
        <v>0</v>
      </c>
      <c r="C187">
        <f t="shared" si="7"/>
        <v>0</v>
      </c>
      <c r="D187">
        <f t="shared" si="8"/>
        <v>0</v>
      </c>
    </row>
    <row r="188" spans="1:4">
      <c r="A188" t="s">
        <v>20</v>
      </c>
      <c r="B188">
        <f t="shared" si="6"/>
        <v>1</v>
      </c>
      <c r="C188">
        <f t="shared" si="7"/>
        <v>0</v>
      </c>
      <c r="D188">
        <f t="shared" si="8"/>
        <v>0</v>
      </c>
    </row>
    <row r="189" spans="1:4">
      <c r="A189" t="s">
        <v>20</v>
      </c>
      <c r="B189">
        <f t="shared" si="6"/>
        <v>1</v>
      </c>
      <c r="C189">
        <f t="shared" si="7"/>
        <v>0</v>
      </c>
      <c r="D189">
        <f t="shared" si="8"/>
        <v>0</v>
      </c>
    </row>
    <row r="190" spans="1:4">
      <c r="A190" t="s">
        <v>20</v>
      </c>
      <c r="B190">
        <f t="shared" si="6"/>
        <v>1</v>
      </c>
      <c r="C190">
        <f t="shared" si="7"/>
        <v>0</v>
      </c>
      <c r="D190">
        <f t="shared" si="8"/>
        <v>0</v>
      </c>
    </row>
    <row r="191" spans="1:4">
      <c r="A191" t="s">
        <v>20</v>
      </c>
      <c r="B191">
        <f t="shared" si="6"/>
        <v>1</v>
      </c>
      <c r="C191">
        <f t="shared" si="7"/>
        <v>0</v>
      </c>
      <c r="D191">
        <f t="shared" si="8"/>
        <v>0</v>
      </c>
    </row>
    <row r="192" spans="1:4">
      <c r="A192" t="s">
        <v>15</v>
      </c>
      <c r="B192">
        <f t="shared" si="6"/>
        <v>0</v>
      </c>
      <c r="C192">
        <f t="shared" si="7"/>
        <v>0</v>
      </c>
      <c r="D192">
        <f t="shared" si="8"/>
        <v>1</v>
      </c>
    </row>
    <row r="193" spans="1:4">
      <c r="A193" t="s">
        <v>15</v>
      </c>
      <c r="B193">
        <f t="shared" si="6"/>
        <v>0</v>
      </c>
      <c r="C193">
        <f t="shared" si="7"/>
        <v>0</v>
      </c>
      <c r="D193">
        <f t="shared" si="8"/>
        <v>1</v>
      </c>
    </row>
    <row r="194" spans="1:4">
      <c r="A194" t="s">
        <v>15</v>
      </c>
      <c r="B194">
        <f t="shared" si="6"/>
        <v>0</v>
      </c>
      <c r="C194">
        <f t="shared" si="7"/>
        <v>0</v>
      </c>
      <c r="D194">
        <f t="shared" si="8"/>
        <v>1</v>
      </c>
    </row>
    <row r="195" spans="1:4">
      <c r="A195" t="s">
        <v>15</v>
      </c>
      <c r="B195">
        <f t="shared" si="6"/>
        <v>0</v>
      </c>
      <c r="C195">
        <f t="shared" si="7"/>
        <v>0</v>
      </c>
      <c r="D195">
        <f t="shared" si="8"/>
        <v>1</v>
      </c>
    </row>
    <row r="196" spans="1:4">
      <c r="A196" t="s">
        <v>27</v>
      </c>
      <c r="B196">
        <f t="shared" si="6"/>
        <v>0</v>
      </c>
      <c r="C196">
        <f t="shared" si="7"/>
        <v>0</v>
      </c>
      <c r="D196">
        <f t="shared" si="8"/>
        <v>0</v>
      </c>
    </row>
    <row r="197" spans="1:4">
      <c r="A197" t="s">
        <v>27</v>
      </c>
      <c r="B197">
        <f t="shared" ref="B197:B260" si="9">IF($A197="North",1,0)</f>
        <v>0</v>
      </c>
      <c r="C197">
        <f t="shared" ref="C197:C260" si="10">IF($A197="South",1,0)</f>
        <v>0</v>
      </c>
      <c r="D197">
        <f t="shared" ref="D197:D260" si="11">IF($A197="East",1,0)</f>
        <v>0</v>
      </c>
    </row>
    <row r="198" spans="1:4">
      <c r="A198" t="s">
        <v>27</v>
      </c>
      <c r="B198">
        <f t="shared" si="9"/>
        <v>0</v>
      </c>
      <c r="C198">
        <f t="shared" si="10"/>
        <v>0</v>
      </c>
      <c r="D198">
        <f t="shared" si="11"/>
        <v>0</v>
      </c>
    </row>
    <row r="199" spans="1:4">
      <c r="A199" t="s">
        <v>27</v>
      </c>
      <c r="B199">
        <f t="shared" si="9"/>
        <v>0</v>
      </c>
      <c r="C199">
        <f t="shared" si="10"/>
        <v>0</v>
      </c>
      <c r="D199">
        <f t="shared" si="11"/>
        <v>0</v>
      </c>
    </row>
    <row r="200" spans="1:4">
      <c r="A200" t="s">
        <v>20</v>
      </c>
      <c r="B200">
        <f t="shared" si="9"/>
        <v>1</v>
      </c>
      <c r="C200">
        <f t="shared" si="10"/>
        <v>0</v>
      </c>
      <c r="D200">
        <f t="shared" si="11"/>
        <v>0</v>
      </c>
    </row>
    <row r="201" spans="1:4">
      <c r="A201" t="s">
        <v>20</v>
      </c>
      <c r="B201">
        <f t="shared" si="9"/>
        <v>1</v>
      </c>
      <c r="C201">
        <f t="shared" si="10"/>
        <v>0</v>
      </c>
      <c r="D201">
        <f t="shared" si="11"/>
        <v>0</v>
      </c>
    </row>
    <row r="202" spans="1:4">
      <c r="A202" t="s">
        <v>20</v>
      </c>
      <c r="B202">
        <f t="shared" si="9"/>
        <v>1</v>
      </c>
      <c r="C202">
        <f t="shared" si="10"/>
        <v>0</v>
      </c>
      <c r="D202">
        <f t="shared" si="11"/>
        <v>0</v>
      </c>
    </row>
    <row r="203" spans="1:4">
      <c r="A203" t="s">
        <v>20</v>
      </c>
      <c r="B203">
        <f t="shared" si="9"/>
        <v>1</v>
      </c>
      <c r="C203">
        <f t="shared" si="10"/>
        <v>0</v>
      </c>
      <c r="D203">
        <f t="shared" si="11"/>
        <v>0</v>
      </c>
    </row>
    <row r="204" spans="1:4">
      <c r="A204" t="s">
        <v>15</v>
      </c>
      <c r="B204">
        <f t="shared" si="9"/>
        <v>0</v>
      </c>
      <c r="C204">
        <f t="shared" si="10"/>
        <v>0</v>
      </c>
      <c r="D204">
        <f t="shared" si="11"/>
        <v>1</v>
      </c>
    </row>
    <row r="205" spans="1:4">
      <c r="A205" t="s">
        <v>15</v>
      </c>
      <c r="B205">
        <f t="shared" si="9"/>
        <v>0</v>
      </c>
      <c r="C205">
        <f t="shared" si="10"/>
        <v>0</v>
      </c>
      <c r="D205">
        <f t="shared" si="11"/>
        <v>1</v>
      </c>
    </row>
    <row r="206" spans="1:4">
      <c r="A206" t="s">
        <v>15</v>
      </c>
      <c r="B206">
        <f t="shared" si="9"/>
        <v>0</v>
      </c>
      <c r="C206">
        <f t="shared" si="10"/>
        <v>0</v>
      </c>
      <c r="D206">
        <f t="shared" si="11"/>
        <v>1</v>
      </c>
    </row>
    <row r="207" spans="1:4">
      <c r="A207" t="s">
        <v>15</v>
      </c>
      <c r="B207">
        <f t="shared" si="9"/>
        <v>0</v>
      </c>
      <c r="C207">
        <f t="shared" si="10"/>
        <v>0</v>
      </c>
      <c r="D207">
        <f t="shared" si="11"/>
        <v>1</v>
      </c>
    </row>
    <row r="208" spans="1:4">
      <c r="A208" t="s">
        <v>15</v>
      </c>
      <c r="B208">
        <f t="shared" si="9"/>
        <v>0</v>
      </c>
      <c r="C208">
        <f t="shared" si="10"/>
        <v>0</v>
      </c>
      <c r="D208">
        <f t="shared" si="11"/>
        <v>1</v>
      </c>
    </row>
    <row r="209" spans="1:4">
      <c r="A209" t="s">
        <v>15</v>
      </c>
      <c r="B209">
        <f t="shared" si="9"/>
        <v>0</v>
      </c>
      <c r="C209">
        <f t="shared" si="10"/>
        <v>0</v>
      </c>
      <c r="D209">
        <f t="shared" si="11"/>
        <v>1</v>
      </c>
    </row>
    <row r="210" spans="1:4">
      <c r="A210" t="s">
        <v>15</v>
      </c>
      <c r="B210">
        <f t="shared" si="9"/>
        <v>0</v>
      </c>
      <c r="C210">
        <f t="shared" si="10"/>
        <v>0</v>
      </c>
      <c r="D210">
        <f t="shared" si="11"/>
        <v>1</v>
      </c>
    </row>
    <row r="211" spans="1:4">
      <c r="A211" t="s">
        <v>15</v>
      </c>
      <c r="B211">
        <f t="shared" si="9"/>
        <v>0</v>
      </c>
      <c r="C211">
        <f t="shared" si="10"/>
        <v>0</v>
      </c>
      <c r="D211">
        <f t="shared" si="11"/>
        <v>1</v>
      </c>
    </row>
    <row r="212" spans="1:4">
      <c r="A212" t="s">
        <v>15</v>
      </c>
      <c r="B212">
        <f t="shared" si="9"/>
        <v>0</v>
      </c>
      <c r="C212">
        <f t="shared" si="10"/>
        <v>0</v>
      </c>
      <c r="D212">
        <f t="shared" si="11"/>
        <v>1</v>
      </c>
    </row>
    <row r="213" spans="1:4">
      <c r="A213" t="s">
        <v>15</v>
      </c>
      <c r="B213">
        <f t="shared" si="9"/>
        <v>0</v>
      </c>
      <c r="C213">
        <f t="shared" si="10"/>
        <v>0</v>
      </c>
      <c r="D213">
        <f t="shared" si="11"/>
        <v>1</v>
      </c>
    </row>
    <row r="214" spans="1:4">
      <c r="A214" t="s">
        <v>15</v>
      </c>
      <c r="B214">
        <f t="shared" si="9"/>
        <v>0</v>
      </c>
      <c r="C214">
        <f t="shared" si="10"/>
        <v>0</v>
      </c>
      <c r="D214">
        <f t="shared" si="11"/>
        <v>1</v>
      </c>
    </row>
    <row r="215" spans="1:4">
      <c r="A215" t="s">
        <v>15</v>
      </c>
      <c r="B215">
        <f t="shared" si="9"/>
        <v>0</v>
      </c>
      <c r="C215">
        <f t="shared" si="10"/>
        <v>0</v>
      </c>
      <c r="D215">
        <f t="shared" si="11"/>
        <v>1</v>
      </c>
    </row>
    <row r="216" spans="1:4">
      <c r="A216" t="s">
        <v>27</v>
      </c>
      <c r="B216">
        <f t="shared" si="9"/>
        <v>0</v>
      </c>
      <c r="C216">
        <f t="shared" si="10"/>
        <v>0</v>
      </c>
      <c r="D216">
        <f t="shared" si="11"/>
        <v>0</v>
      </c>
    </row>
    <row r="217" spans="1:4">
      <c r="A217" t="s">
        <v>27</v>
      </c>
      <c r="B217">
        <f t="shared" si="9"/>
        <v>0</v>
      </c>
      <c r="C217">
        <f t="shared" si="10"/>
        <v>0</v>
      </c>
      <c r="D217">
        <f t="shared" si="11"/>
        <v>0</v>
      </c>
    </row>
    <row r="218" spans="1:4">
      <c r="A218" t="s">
        <v>27</v>
      </c>
      <c r="B218">
        <f t="shared" si="9"/>
        <v>0</v>
      </c>
      <c r="C218">
        <f t="shared" si="10"/>
        <v>0</v>
      </c>
      <c r="D218">
        <f t="shared" si="11"/>
        <v>0</v>
      </c>
    </row>
    <row r="219" spans="1:4">
      <c r="A219" t="s">
        <v>27</v>
      </c>
      <c r="B219">
        <f t="shared" si="9"/>
        <v>0</v>
      </c>
      <c r="C219">
        <f t="shared" si="10"/>
        <v>0</v>
      </c>
      <c r="D219">
        <f t="shared" si="11"/>
        <v>0</v>
      </c>
    </row>
    <row r="220" spans="1:4">
      <c r="A220" t="s">
        <v>20</v>
      </c>
      <c r="B220">
        <f t="shared" si="9"/>
        <v>1</v>
      </c>
      <c r="C220">
        <f t="shared" si="10"/>
        <v>0</v>
      </c>
      <c r="D220">
        <f t="shared" si="11"/>
        <v>0</v>
      </c>
    </row>
    <row r="221" spans="1:4">
      <c r="A221" t="s">
        <v>20</v>
      </c>
      <c r="B221">
        <f t="shared" si="9"/>
        <v>1</v>
      </c>
      <c r="C221">
        <f t="shared" si="10"/>
        <v>0</v>
      </c>
      <c r="D221">
        <f t="shared" si="11"/>
        <v>0</v>
      </c>
    </row>
    <row r="222" spans="1:4">
      <c r="A222" t="s">
        <v>20</v>
      </c>
      <c r="B222">
        <f t="shared" si="9"/>
        <v>1</v>
      </c>
      <c r="C222">
        <f t="shared" si="10"/>
        <v>0</v>
      </c>
      <c r="D222">
        <f t="shared" si="11"/>
        <v>0</v>
      </c>
    </row>
    <row r="223" spans="1:4">
      <c r="A223" t="s">
        <v>20</v>
      </c>
      <c r="B223">
        <f t="shared" si="9"/>
        <v>1</v>
      </c>
      <c r="C223">
        <f t="shared" si="10"/>
        <v>0</v>
      </c>
      <c r="D223">
        <f t="shared" si="11"/>
        <v>0</v>
      </c>
    </row>
    <row r="224" spans="1:4">
      <c r="A224" t="s">
        <v>15</v>
      </c>
      <c r="B224">
        <f t="shared" si="9"/>
        <v>0</v>
      </c>
      <c r="C224">
        <f t="shared" si="10"/>
        <v>0</v>
      </c>
      <c r="D224">
        <f t="shared" si="11"/>
        <v>1</v>
      </c>
    </row>
    <row r="225" spans="1:4">
      <c r="A225" t="s">
        <v>15</v>
      </c>
      <c r="B225">
        <f t="shared" si="9"/>
        <v>0</v>
      </c>
      <c r="C225">
        <f t="shared" si="10"/>
        <v>0</v>
      </c>
      <c r="D225">
        <f t="shared" si="11"/>
        <v>1</v>
      </c>
    </row>
    <row r="226" spans="1:4">
      <c r="A226" t="s">
        <v>15</v>
      </c>
      <c r="B226">
        <f t="shared" si="9"/>
        <v>0</v>
      </c>
      <c r="C226">
        <f t="shared" si="10"/>
        <v>0</v>
      </c>
      <c r="D226">
        <f t="shared" si="11"/>
        <v>1</v>
      </c>
    </row>
    <row r="227" spans="1:4">
      <c r="A227" t="s">
        <v>15</v>
      </c>
      <c r="B227">
        <f t="shared" si="9"/>
        <v>0</v>
      </c>
      <c r="C227">
        <f t="shared" si="10"/>
        <v>0</v>
      </c>
      <c r="D227">
        <f t="shared" si="11"/>
        <v>1</v>
      </c>
    </row>
    <row r="228" spans="1:4">
      <c r="A228" t="s">
        <v>15</v>
      </c>
      <c r="B228">
        <f t="shared" si="9"/>
        <v>0</v>
      </c>
      <c r="C228">
        <f t="shared" si="10"/>
        <v>0</v>
      </c>
      <c r="D228">
        <f t="shared" si="11"/>
        <v>1</v>
      </c>
    </row>
    <row r="229" spans="1:4">
      <c r="A229" t="s">
        <v>15</v>
      </c>
      <c r="B229">
        <f t="shared" si="9"/>
        <v>0</v>
      </c>
      <c r="C229">
        <f t="shared" si="10"/>
        <v>0</v>
      </c>
      <c r="D229">
        <f t="shared" si="11"/>
        <v>1</v>
      </c>
    </row>
    <row r="230" spans="1:4">
      <c r="A230" t="s">
        <v>15</v>
      </c>
      <c r="B230">
        <f t="shared" si="9"/>
        <v>0</v>
      </c>
      <c r="C230">
        <f t="shared" si="10"/>
        <v>0</v>
      </c>
      <c r="D230">
        <f t="shared" si="11"/>
        <v>1</v>
      </c>
    </row>
    <row r="231" spans="1:4">
      <c r="A231" t="s">
        <v>15</v>
      </c>
      <c r="B231">
        <f t="shared" si="9"/>
        <v>0</v>
      </c>
      <c r="C231">
        <f t="shared" si="10"/>
        <v>0</v>
      </c>
      <c r="D231">
        <f t="shared" si="11"/>
        <v>1</v>
      </c>
    </row>
    <row r="232" spans="1:4">
      <c r="A232" t="s">
        <v>15</v>
      </c>
      <c r="B232">
        <f t="shared" si="9"/>
        <v>0</v>
      </c>
      <c r="C232">
        <f t="shared" si="10"/>
        <v>0</v>
      </c>
      <c r="D232">
        <f t="shared" si="11"/>
        <v>1</v>
      </c>
    </row>
    <row r="233" spans="1:4">
      <c r="A233" t="s">
        <v>15</v>
      </c>
      <c r="B233">
        <f t="shared" si="9"/>
        <v>0</v>
      </c>
      <c r="C233">
        <f t="shared" si="10"/>
        <v>0</v>
      </c>
      <c r="D233">
        <f t="shared" si="11"/>
        <v>1</v>
      </c>
    </row>
    <row r="234" spans="1:4">
      <c r="A234" t="s">
        <v>15</v>
      </c>
      <c r="B234">
        <f t="shared" si="9"/>
        <v>0</v>
      </c>
      <c r="C234">
        <f t="shared" si="10"/>
        <v>0</v>
      </c>
      <c r="D234">
        <f t="shared" si="11"/>
        <v>1</v>
      </c>
    </row>
    <row r="235" spans="1:4">
      <c r="A235" t="s">
        <v>15</v>
      </c>
      <c r="B235">
        <f t="shared" si="9"/>
        <v>0</v>
      </c>
      <c r="C235">
        <f t="shared" si="10"/>
        <v>0</v>
      </c>
      <c r="D235">
        <f t="shared" si="11"/>
        <v>1</v>
      </c>
    </row>
    <row r="236" spans="1:4">
      <c r="A236" t="s">
        <v>27</v>
      </c>
      <c r="B236">
        <f t="shared" si="9"/>
        <v>0</v>
      </c>
      <c r="C236">
        <f t="shared" si="10"/>
        <v>0</v>
      </c>
      <c r="D236">
        <f t="shared" si="11"/>
        <v>0</v>
      </c>
    </row>
    <row r="237" spans="1:4">
      <c r="A237" t="s">
        <v>27</v>
      </c>
      <c r="B237">
        <f t="shared" si="9"/>
        <v>0</v>
      </c>
      <c r="C237">
        <f t="shared" si="10"/>
        <v>0</v>
      </c>
      <c r="D237">
        <f t="shared" si="11"/>
        <v>0</v>
      </c>
    </row>
    <row r="238" spans="1:4">
      <c r="A238" t="s">
        <v>27</v>
      </c>
      <c r="B238">
        <f t="shared" si="9"/>
        <v>0</v>
      </c>
      <c r="C238">
        <f t="shared" si="10"/>
        <v>0</v>
      </c>
      <c r="D238">
        <f t="shared" si="11"/>
        <v>0</v>
      </c>
    </row>
    <row r="239" spans="1:4">
      <c r="A239" t="s">
        <v>27</v>
      </c>
      <c r="B239">
        <f t="shared" si="9"/>
        <v>0</v>
      </c>
      <c r="C239">
        <f t="shared" si="10"/>
        <v>0</v>
      </c>
      <c r="D239">
        <f t="shared" si="11"/>
        <v>0</v>
      </c>
    </row>
    <row r="240" spans="1:4">
      <c r="A240" t="s">
        <v>27</v>
      </c>
      <c r="B240">
        <f t="shared" si="9"/>
        <v>0</v>
      </c>
      <c r="C240">
        <f t="shared" si="10"/>
        <v>0</v>
      </c>
      <c r="D240">
        <f t="shared" si="11"/>
        <v>0</v>
      </c>
    </row>
    <row r="241" spans="1:4">
      <c r="A241" t="s">
        <v>27</v>
      </c>
      <c r="B241">
        <f t="shared" si="9"/>
        <v>0</v>
      </c>
      <c r="C241">
        <f t="shared" si="10"/>
        <v>0</v>
      </c>
      <c r="D241">
        <f t="shared" si="11"/>
        <v>0</v>
      </c>
    </row>
    <row r="242" spans="1:4">
      <c r="A242" t="s">
        <v>27</v>
      </c>
      <c r="B242">
        <f t="shared" si="9"/>
        <v>0</v>
      </c>
      <c r="C242">
        <f t="shared" si="10"/>
        <v>0</v>
      </c>
      <c r="D242">
        <f t="shared" si="11"/>
        <v>0</v>
      </c>
    </row>
    <row r="243" spans="1:4">
      <c r="A243" t="s">
        <v>27</v>
      </c>
      <c r="B243">
        <f t="shared" si="9"/>
        <v>0</v>
      </c>
      <c r="C243">
        <f t="shared" si="10"/>
        <v>0</v>
      </c>
      <c r="D243">
        <f t="shared" si="11"/>
        <v>0</v>
      </c>
    </row>
    <row r="244" spans="1:4">
      <c r="A244" t="s">
        <v>24</v>
      </c>
      <c r="B244">
        <f t="shared" si="9"/>
        <v>0</v>
      </c>
      <c r="C244">
        <f t="shared" si="10"/>
        <v>1</v>
      </c>
      <c r="D244">
        <f t="shared" si="11"/>
        <v>0</v>
      </c>
    </row>
    <row r="245" spans="1:4">
      <c r="A245" t="s">
        <v>24</v>
      </c>
      <c r="B245">
        <f t="shared" si="9"/>
        <v>0</v>
      </c>
      <c r="C245">
        <f t="shared" si="10"/>
        <v>1</v>
      </c>
      <c r="D245">
        <f t="shared" si="11"/>
        <v>0</v>
      </c>
    </row>
    <row r="246" spans="1:4">
      <c r="A246" t="s">
        <v>24</v>
      </c>
      <c r="B246">
        <f t="shared" si="9"/>
        <v>0</v>
      </c>
      <c r="C246">
        <f t="shared" si="10"/>
        <v>1</v>
      </c>
      <c r="D246">
        <f t="shared" si="11"/>
        <v>0</v>
      </c>
    </row>
    <row r="247" spans="1:4">
      <c r="A247" t="s">
        <v>24</v>
      </c>
      <c r="B247">
        <f t="shared" si="9"/>
        <v>0</v>
      </c>
      <c r="C247">
        <f t="shared" si="10"/>
        <v>1</v>
      </c>
      <c r="D247">
        <f t="shared" si="11"/>
        <v>0</v>
      </c>
    </row>
    <row r="248" spans="1:4">
      <c r="A248" t="s">
        <v>15</v>
      </c>
      <c r="B248">
        <f t="shared" si="9"/>
        <v>0</v>
      </c>
      <c r="C248">
        <f t="shared" si="10"/>
        <v>0</v>
      </c>
      <c r="D248">
        <f t="shared" si="11"/>
        <v>1</v>
      </c>
    </row>
    <row r="249" spans="1:4">
      <c r="A249" t="s">
        <v>15</v>
      </c>
      <c r="B249">
        <f t="shared" si="9"/>
        <v>0</v>
      </c>
      <c r="C249">
        <f t="shared" si="10"/>
        <v>0</v>
      </c>
      <c r="D249">
        <f t="shared" si="11"/>
        <v>1</v>
      </c>
    </row>
    <row r="250" spans="1:4">
      <c r="A250" t="s">
        <v>15</v>
      </c>
      <c r="B250">
        <f t="shared" si="9"/>
        <v>0</v>
      </c>
      <c r="C250">
        <f t="shared" si="10"/>
        <v>0</v>
      </c>
      <c r="D250">
        <f t="shared" si="11"/>
        <v>1</v>
      </c>
    </row>
    <row r="251" spans="1:4">
      <c r="A251" t="s">
        <v>15</v>
      </c>
      <c r="B251">
        <f t="shared" si="9"/>
        <v>0</v>
      </c>
      <c r="C251">
        <f t="shared" si="10"/>
        <v>0</v>
      </c>
      <c r="D251">
        <f t="shared" si="11"/>
        <v>1</v>
      </c>
    </row>
    <row r="252" spans="1:4">
      <c r="A252" t="s">
        <v>20</v>
      </c>
      <c r="B252">
        <f t="shared" si="9"/>
        <v>1</v>
      </c>
      <c r="C252">
        <f t="shared" si="10"/>
        <v>0</v>
      </c>
      <c r="D252">
        <f t="shared" si="11"/>
        <v>0</v>
      </c>
    </row>
    <row r="253" spans="1:4">
      <c r="A253" t="s">
        <v>20</v>
      </c>
      <c r="B253">
        <f t="shared" si="9"/>
        <v>1</v>
      </c>
      <c r="C253">
        <f t="shared" si="10"/>
        <v>0</v>
      </c>
      <c r="D253">
        <f t="shared" si="11"/>
        <v>0</v>
      </c>
    </row>
    <row r="254" spans="1:4">
      <c r="A254" t="s">
        <v>20</v>
      </c>
      <c r="B254">
        <f t="shared" si="9"/>
        <v>1</v>
      </c>
      <c r="C254">
        <f t="shared" si="10"/>
        <v>0</v>
      </c>
      <c r="D254">
        <f t="shared" si="11"/>
        <v>0</v>
      </c>
    </row>
    <row r="255" spans="1:4">
      <c r="A255" t="s">
        <v>20</v>
      </c>
      <c r="B255">
        <f t="shared" si="9"/>
        <v>1</v>
      </c>
      <c r="C255">
        <f t="shared" si="10"/>
        <v>0</v>
      </c>
      <c r="D255">
        <f t="shared" si="11"/>
        <v>0</v>
      </c>
    </row>
    <row r="256" spans="1:4">
      <c r="A256" t="s">
        <v>24</v>
      </c>
      <c r="B256">
        <f t="shared" si="9"/>
        <v>0</v>
      </c>
      <c r="C256">
        <f t="shared" si="10"/>
        <v>1</v>
      </c>
      <c r="D256">
        <f t="shared" si="11"/>
        <v>0</v>
      </c>
    </row>
    <row r="257" spans="1:4">
      <c r="A257" t="s">
        <v>24</v>
      </c>
      <c r="B257">
        <f t="shared" si="9"/>
        <v>0</v>
      </c>
      <c r="C257">
        <f t="shared" si="10"/>
        <v>1</v>
      </c>
      <c r="D257">
        <f t="shared" si="11"/>
        <v>0</v>
      </c>
    </row>
    <row r="258" spans="1:4">
      <c r="A258" t="s">
        <v>24</v>
      </c>
      <c r="B258">
        <f t="shared" si="9"/>
        <v>0</v>
      </c>
      <c r="C258">
        <f t="shared" si="10"/>
        <v>1</v>
      </c>
      <c r="D258">
        <f t="shared" si="11"/>
        <v>0</v>
      </c>
    </row>
    <row r="259" spans="1:4">
      <c r="A259" t="s">
        <v>24</v>
      </c>
      <c r="B259">
        <f t="shared" si="9"/>
        <v>0</v>
      </c>
      <c r="C259">
        <f t="shared" si="10"/>
        <v>1</v>
      </c>
      <c r="D259">
        <f t="shared" si="11"/>
        <v>0</v>
      </c>
    </row>
    <row r="260" spans="1:4">
      <c r="A260" t="s">
        <v>24</v>
      </c>
      <c r="B260">
        <f t="shared" si="9"/>
        <v>0</v>
      </c>
      <c r="C260">
        <f t="shared" si="10"/>
        <v>1</v>
      </c>
      <c r="D260">
        <f t="shared" si="11"/>
        <v>0</v>
      </c>
    </row>
    <row r="261" spans="1:4">
      <c r="A261" t="s">
        <v>24</v>
      </c>
      <c r="B261">
        <f t="shared" ref="B261:B323" si="12">IF($A261="North",1,0)</f>
        <v>0</v>
      </c>
      <c r="C261">
        <f t="shared" ref="C261:C323" si="13">IF($A261="South",1,0)</f>
        <v>1</v>
      </c>
      <c r="D261">
        <f t="shared" ref="D261:D323" si="14">IF($A261="East",1,0)</f>
        <v>0</v>
      </c>
    </row>
    <row r="262" spans="1:4">
      <c r="A262" t="s">
        <v>24</v>
      </c>
      <c r="B262">
        <f t="shared" si="12"/>
        <v>0</v>
      </c>
      <c r="C262">
        <f t="shared" si="13"/>
        <v>1</v>
      </c>
      <c r="D262">
        <f t="shared" si="14"/>
        <v>0</v>
      </c>
    </row>
    <row r="263" spans="1:4">
      <c r="A263" t="s">
        <v>24</v>
      </c>
      <c r="B263">
        <f t="shared" si="12"/>
        <v>0</v>
      </c>
      <c r="C263">
        <f t="shared" si="13"/>
        <v>1</v>
      </c>
      <c r="D263">
        <f t="shared" si="14"/>
        <v>0</v>
      </c>
    </row>
    <row r="264" spans="1:4">
      <c r="A264" t="s">
        <v>27</v>
      </c>
      <c r="B264">
        <f t="shared" si="12"/>
        <v>0</v>
      </c>
      <c r="C264">
        <f t="shared" si="13"/>
        <v>0</v>
      </c>
      <c r="D264">
        <f t="shared" si="14"/>
        <v>0</v>
      </c>
    </row>
    <row r="265" spans="1:4">
      <c r="A265" t="s">
        <v>27</v>
      </c>
      <c r="B265">
        <f t="shared" si="12"/>
        <v>0</v>
      </c>
      <c r="C265">
        <f t="shared" si="13"/>
        <v>0</v>
      </c>
      <c r="D265">
        <f t="shared" si="14"/>
        <v>0</v>
      </c>
    </row>
    <row r="266" spans="1:4">
      <c r="A266" t="s">
        <v>27</v>
      </c>
      <c r="B266">
        <f t="shared" si="12"/>
        <v>0</v>
      </c>
      <c r="C266">
        <f t="shared" si="13"/>
        <v>0</v>
      </c>
      <c r="D266">
        <f t="shared" si="14"/>
        <v>0</v>
      </c>
    </row>
    <row r="267" spans="1:4">
      <c r="A267" t="s">
        <v>27</v>
      </c>
      <c r="B267">
        <f t="shared" si="12"/>
        <v>0</v>
      </c>
      <c r="C267">
        <f t="shared" si="13"/>
        <v>0</v>
      </c>
      <c r="D267">
        <f t="shared" si="14"/>
        <v>0</v>
      </c>
    </row>
    <row r="268" spans="1:4">
      <c r="A268" t="s">
        <v>15</v>
      </c>
      <c r="B268">
        <f t="shared" si="12"/>
        <v>0</v>
      </c>
      <c r="C268">
        <f t="shared" si="13"/>
        <v>0</v>
      </c>
      <c r="D268">
        <f t="shared" si="14"/>
        <v>1</v>
      </c>
    </row>
    <row r="269" spans="1:4">
      <c r="A269" t="s">
        <v>15</v>
      </c>
      <c r="B269">
        <f t="shared" si="12"/>
        <v>0</v>
      </c>
      <c r="C269">
        <f t="shared" si="13"/>
        <v>0</v>
      </c>
      <c r="D269">
        <f t="shared" si="14"/>
        <v>1</v>
      </c>
    </row>
    <row r="270" spans="1:4">
      <c r="A270" t="s">
        <v>15</v>
      </c>
      <c r="B270">
        <f t="shared" si="12"/>
        <v>0</v>
      </c>
      <c r="C270">
        <f t="shared" si="13"/>
        <v>0</v>
      </c>
      <c r="D270">
        <f t="shared" si="14"/>
        <v>1</v>
      </c>
    </row>
    <row r="271" spans="1:4">
      <c r="A271" t="s">
        <v>15</v>
      </c>
      <c r="B271">
        <f t="shared" si="12"/>
        <v>0</v>
      </c>
      <c r="C271">
        <f t="shared" si="13"/>
        <v>0</v>
      </c>
      <c r="D271">
        <f t="shared" si="14"/>
        <v>1</v>
      </c>
    </row>
    <row r="272" spans="1:4">
      <c r="A272" t="s">
        <v>15</v>
      </c>
      <c r="B272">
        <f t="shared" si="12"/>
        <v>0</v>
      </c>
      <c r="C272">
        <f t="shared" si="13"/>
        <v>0</v>
      </c>
      <c r="D272">
        <f t="shared" si="14"/>
        <v>1</v>
      </c>
    </row>
    <row r="273" spans="1:4">
      <c r="A273" t="s">
        <v>15</v>
      </c>
      <c r="B273">
        <f t="shared" si="12"/>
        <v>0</v>
      </c>
      <c r="C273">
        <f t="shared" si="13"/>
        <v>0</v>
      </c>
      <c r="D273">
        <f t="shared" si="14"/>
        <v>1</v>
      </c>
    </row>
    <row r="274" spans="1:4">
      <c r="A274" t="s">
        <v>15</v>
      </c>
      <c r="B274">
        <f t="shared" si="12"/>
        <v>0</v>
      </c>
      <c r="C274">
        <f t="shared" si="13"/>
        <v>0</v>
      </c>
      <c r="D274">
        <f t="shared" si="14"/>
        <v>1</v>
      </c>
    </row>
    <row r="275" spans="1:4">
      <c r="A275" t="s">
        <v>15</v>
      </c>
      <c r="B275">
        <f t="shared" si="12"/>
        <v>0</v>
      </c>
      <c r="C275">
        <f t="shared" si="13"/>
        <v>0</v>
      </c>
      <c r="D275">
        <f t="shared" si="14"/>
        <v>1</v>
      </c>
    </row>
    <row r="276" spans="1:4">
      <c r="A276" t="s">
        <v>27</v>
      </c>
      <c r="B276">
        <f t="shared" si="12"/>
        <v>0</v>
      </c>
      <c r="C276">
        <f t="shared" si="13"/>
        <v>0</v>
      </c>
      <c r="D276">
        <f t="shared" si="14"/>
        <v>0</v>
      </c>
    </row>
    <row r="277" spans="1:4">
      <c r="A277" t="s">
        <v>27</v>
      </c>
      <c r="B277">
        <f t="shared" si="12"/>
        <v>0</v>
      </c>
      <c r="C277">
        <f t="shared" si="13"/>
        <v>0</v>
      </c>
      <c r="D277">
        <f t="shared" si="14"/>
        <v>0</v>
      </c>
    </row>
    <row r="278" spans="1:4">
      <c r="A278" t="s">
        <v>27</v>
      </c>
      <c r="B278">
        <f t="shared" si="12"/>
        <v>0</v>
      </c>
      <c r="C278">
        <f t="shared" si="13"/>
        <v>0</v>
      </c>
      <c r="D278">
        <f t="shared" si="14"/>
        <v>0</v>
      </c>
    </row>
    <row r="279" spans="1:4">
      <c r="A279" t="s">
        <v>27</v>
      </c>
      <c r="B279">
        <f t="shared" si="12"/>
        <v>0</v>
      </c>
      <c r="C279">
        <f t="shared" si="13"/>
        <v>0</v>
      </c>
      <c r="D279">
        <f t="shared" si="14"/>
        <v>0</v>
      </c>
    </row>
    <row r="280" spans="1:4">
      <c r="A280" t="s">
        <v>24</v>
      </c>
      <c r="B280">
        <f t="shared" si="12"/>
        <v>0</v>
      </c>
      <c r="C280">
        <f t="shared" si="13"/>
        <v>1</v>
      </c>
      <c r="D280">
        <f t="shared" si="14"/>
        <v>0</v>
      </c>
    </row>
    <row r="281" spans="1:4">
      <c r="A281" t="s">
        <v>24</v>
      </c>
      <c r="B281">
        <f t="shared" si="12"/>
        <v>0</v>
      </c>
      <c r="C281">
        <f t="shared" si="13"/>
        <v>1</v>
      </c>
      <c r="D281">
        <f t="shared" si="14"/>
        <v>0</v>
      </c>
    </row>
    <row r="282" spans="1:4">
      <c r="A282" t="s">
        <v>24</v>
      </c>
      <c r="B282">
        <f t="shared" si="12"/>
        <v>0</v>
      </c>
      <c r="C282">
        <f t="shared" si="13"/>
        <v>1</v>
      </c>
      <c r="D282">
        <f t="shared" si="14"/>
        <v>0</v>
      </c>
    </row>
    <row r="283" spans="1:4">
      <c r="A283" t="s">
        <v>24</v>
      </c>
      <c r="B283">
        <f t="shared" si="12"/>
        <v>0</v>
      </c>
      <c r="C283">
        <f t="shared" si="13"/>
        <v>1</v>
      </c>
      <c r="D283">
        <f t="shared" si="14"/>
        <v>0</v>
      </c>
    </row>
    <row r="284" spans="1:4">
      <c r="A284" t="s">
        <v>24</v>
      </c>
      <c r="B284">
        <f t="shared" si="12"/>
        <v>0</v>
      </c>
      <c r="C284">
        <f t="shared" si="13"/>
        <v>1</v>
      </c>
      <c r="D284">
        <f t="shared" si="14"/>
        <v>0</v>
      </c>
    </row>
    <row r="285" spans="1:4">
      <c r="A285" t="s">
        <v>24</v>
      </c>
      <c r="B285">
        <f t="shared" si="12"/>
        <v>0</v>
      </c>
      <c r="C285">
        <f t="shared" si="13"/>
        <v>1</v>
      </c>
      <c r="D285">
        <f t="shared" si="14"/>
        <v>0</v>
      </c>
    </row>
    <row r="286" spans="1:4">
      <c r="A286" t="s">
        <v>24</v>
      </c>
      <c r="B286">
        <f t="shared" si="12"/>
        <v>0</v>
      </c>
      <c r="C286">
        <f t="shared" si="13"/>
        <v>1</v>
      </c>
      <c r="D286">
        <f t="shared" si="14"/>
        <v>0</v>
      </c>
    </row>
    <row r="287" spans="1:4">
      <c r="A287" t="s">
        <v>24</v>
      </c>
      <c r="B287">
        <f t="shared" si="12"/>
        <v>0</v>
      </c>
      <c r="C287">
        <f t="shared" si="13"/>
        <v>1</v>
      </c>
      <c r="D287">
        <f t="shared" si="14"/>
        <v>0</v>
      </c>
    </row>
    <row r="288" spans="1:4">
      <c r="A288" t="s">
        <v>27</v>
      </c>
      <c r="B288">
        <f t="shared" si="12"/>
        <v>0</v>
      </c>
      <c r="C288">
        <f t="shared" si="13"/>
        <v>0</v>
      </c>
      <c r="D288">
        <f t="shared" si="14"/>
        <v>0</v>
      </c>
    </row>
    <row r="289" spans="1:4">
      <c r="A289" t="s">
        <v>27</v>
      </c>
      <c r="B289">
        <f t="shared" si="12"/>
        <v>0</v>
      </c>
      <c r="C289">
        <f t="shared" si="13"/>
        <v>0</v>
      </c>
      <c r="D289">
        <f t="shared" si="14"/>
        <v>0</v>
      </c>
    </row>
    <row r="290" spans="1:4">
      <c r="A290" t="s">
        <v>27</v>
      </c>
      <c r="B290">
        <f t="shared" si="12"/>
        <v>0</v>
      </c>
      <c r="C290">
        <f t="shared" si="13"/>
        <v>0</v>
      </c>
      <c r="D290">
        <f t="shared" si="14"/>
        <v>0</v>
      </c>
    </row>
    <row r="291" spans="1:4">
      <c r="A291" t="s">
        <v>27</v>
      </c>
      <c r="B291">
        <f t="shared" si="12"/>
        <v>0</v>
      </c>
      <c r="C291">
        <f t="shared" si="13"/>
        <v>0</v>
      </c>
      <c r="D291">
        <f t="shared" si="14"/>
        <v>0</v>
      </c>
    </row>
    <row r="292" spans="1:4">
      <c r="A292" t="s">
        <v>15</v>
      </c>
      <c r="B292">
        <f t="shared" si="12"/>
        <v>0</v>
      </c>
      <c r="C292">
        <f t="shared" si="13"/>
        <v>0</v>
      </c>
      <c r="D292">
        <f t="shared" si="14"/>
        <v>1</v>
      </c>
    </row>
    <row r="293" spans="1:4">
      <c r="A293" t="s">
        <v>15</v>
      </c>
      <c r="B293">
        <f t="shared" si="12"/>
        <v>0</v>
      </c>
      <c r="C293">
        <f t="shared" si="13"/>
        <v>0</v>
      </c>
      <c r="D293">
        <f t="shared" si="14"/>
        <v>1</v>
      </c>
    </row>
    <row r="294" spans="1:4">
      <c r="A294" t="s">
        <v>15</v>
      </c>
      <c r="B294">
        <f t="shared" si="12"/>
        <v>0</v>
      </c>
      <c r="C294">
        <f t="shared" si="13"/>
        <v>0</v>
      </c>
      <c r="D294">
        <f t="shared" si="14"/>
        <v>1</v>
      </c>
    </row>
    <row r="295" spans="1:4">
      <c r="A295" t="s">
        <v>15</v>
      </c>
      <c r="B295">
        <f t="shared" si="12"/>
        <v>0</v>
      </c>
      <c r="C295">
        <f t="shared" si="13"/>
        <v>0</v>
      </c>
      <c r="D295">
        <f t="shared" si="14"/>
        <v>1</v>
      </c>
    </row>
    <row r="296" spans="1:4">
      <c r="A296" t="s">
        <v>27</v>
      </c>
      <c r="B296">
        <f t="shared" si="12"/>
        <v>0</v>
      </c>
      <c r="C296">
        <f t="shared" si="13"/>
        <v>0</v>
      </c>
      <c r="D296">
        <f t="shared" si="14"/>
        <v>0</v>
      </c>
    </row>
    <row r="297" spans="1:4">
      <c r="A297" t="s">
        <v>27</v>
      </c>
      <c r="B297">
        <f t="shared" si="12"/>
        <v>0</v>
      </c>
      <c r="C297">
        <f t="shared" si="13"/>
        <v>0</v>
      </c>
      <c r="D297">
        <f t="shared" si="14"/>
        <v>0</v>
      </c>
    </row>
    <row r="298" spans="1:4">
      <c r="A298" t="s">
        <v>27</v>
      </c>
      <c r="B298">
        <f t="shared" si="12"/>
        <v>0</v>
      </c>
      <c r="C298">
        <f t="shared" si="13"/>
        <v>0</v>
      </c>
      <c r="D298">
        <f t="shared" si="14"/>
        <v>0</v>
      </c>
    </row>
    <row r="299" spans="1:4">
      <c r="A299" t="s">
        <v>27</v>
      </c>
      <c r="B299">
        <f t="shared" si="12"/>
        <v>0</v>
      </c>
      <c r="C299">
        <f t="shared" si="13"/>
        <v>0</v>
      </c>
      <c r="D299">
        <f t="shared" si="14"/>
        <v>0</v>
      </c>
    </row>
    <row r="300" spans="1:4">
      <c r="A300" t="s">
        <v>27</v>
      </c>
      <c r="B300">
        <f t="shared" si="12"/>
        <v>0</v>
      </c>
      <c r="C300">
        <f t="shared" si="13"/>
        <v>0</v>
      </c>
      <c r="D300">
        <f t="shared" si="14"/>
        <v>0</v>
      </c>
    </row>
    <row r="301" spans="1:4">
      <c r="A301" t="s">
        <v>27</v>
      </c>
      <c r="B301">
        <f t="shared" si="12"/>
        <v>0</v>
      </c>
      <c r="C301">
        <f t="shared" si="13"/>
        <v>0</v>
      </c>
      <c r="D301">
        <f t="shared" si="14"/>
        <v>0</v>
      </c>
    </row>
    <row r="302" spans="1:4">
      <c r="A302" t="s">
        <v>27</v>
      </c>
      <c r="B302">
        <f t="shared" si="12"/>
        <v>0</v>
      </c>
      <c r="C302">
        <f t="shared" si="13"/>
        <v>0</v>
      </c>
      <c r="D302">
        <f t="shared" si="14"/>
        <v>0</v>
      </c>
    </row>
    <row r="303" spans="1:4">
      <c r="A303" t="s">
        <v>27</v>
      </c>
      <c r="B303">
        <f t="shared" si="12"/>
        <v>0</v>
      </c>
      <c r="C303">
        <f t="shared" si="13"/>
        <v>0</v>
      </c>
      <c r="D303">
        <f t="shared" si="14"/>
        <v>0</v>
      </c>
    </row>
    <row r="304" spans="1:4">
      <c r="A304" t="s">
        <v>20</v>
      </c>
      <c r="B304">
        <f t="shared" si="12"/>
        <v>1</v>
      </c>
      <c r="C304">
        <f t="shared" si="13"/>
        <v>0</v>
      </c>
      <c r="D304">
        <f t="shared" si="14"/>
        <v>0</v>
      </c>
    </row>
    <row r="305" spans="1:4">
      <c r="A305" t="s">
        <v>20</v>
      </c>
      <c r="B305">
        <f t="shared" si="12"/>
        <v>1</v>
      </c>
      <c r="C305">
        <f t="shared" si="13"/>
        <v>0</v>
      </c>
      <c r="D305">
        <f t="shared" si="14"/>
        <v>0</v>
      </c>
    </row>
    <row r="306" spans="1:4">
      <c r="A306" t="s">
        <v>20</v>
      </c>
      <c r="B306">
        <f t="shared" si="12"/>
        <v>1</v>
      </c>
      <c r="C306">
        <f t="shared" si="13"/>
        <v>0</v>
      </c>
      <c r="D306">
        <f t="shared" si="14"/>
        <v>0</v>
      </c>
    </row>
    <row r="307" spans="1:4">
      <c r="A307" t="s">
        <v>20</v>
      </c>
      <c r="B307">
        <f t="shared" si="12"/>
        <v>1</v>
      </c>
      <c r="C307">
        <f t="shared" si="13"/>
        <v>0</v>
      </c>
      <c r="D307">
        <f t="shared" si="14"/>
        <v>0</v>
      </c>
    </row>
    <row r="308" spans="1:4">
      <c r="A308" t="s">
        <v>24</v>
      </c>
      <c r="B308">
        <f t="shared" si="12"/>
        <v>0</v>
      </c>
      <c r="C308">
        <f t="shared" si="13"/>
        <v>1</v>
      </c>
      <c r="D308">
        <f t="shared" si="14"/>
        <v>0</v>
      </c>
    </row>
    <row r="309" spans="1:4">
      <c r="A309" t="s">
        <v>24</v>
      </c>
      <c r="B309">
        <f t="shared" si="12"/>
        <v>0</v>
      </c>
      <c r="C309">
        <f t="shared" si="13"/>
        <v>1</v>
      </c>
      <c r="D309">
        <f t="shared" si="14"/>
        <v>0</v>
      </c>
    </row>
    <row r="310" spans="1:4">
      <c r="A310" t="s">
        <v>24</v>
      </c>
      <c r="B310">
        <f t="shared" si="12"/>
        <v>0</v>
      </c>
      <c r="C310">
        <f t="shared" si="13"/>
        <v>1</v>
      </c>
      <c r="D310">
        <f t="shared" si="14"/>
        <v>0</v>
      </c>
    </row>
    <row r="311" spans="1:4">
      <c r="A311" t="s">
        <v>24</v>
      </c>
      <c r="B311">
        <f t="shared" si="12"/>
        <v>0</v>
      </c>
      <c r="C311">
        <f t="shared" si="13"/>
        <v>1</v>
      </c>
      <c r="D311">
        <f t="shared" si="14"/>
        <v>0</v>
      </c>
    </row>
    <row r="312" spans="1:4">
      <c r="A312" t="s">
        <v>24</v>
      </c>
      <c r="B312">
        <f t="shared" si="12"/>
        <v>0</v>
      </c>
      <c r="C312">
        <f t="shared" si="13"/>
        <v>1</v>
      </c>
      <c r="D312">
        <f t="shared" si="14"/>
        <v>0</v>
      </c>
    </row>
    <row r="313" spans="1:4">
      <c r="A313" t="s">
        <v>24</v>
      </c>
      <c r="B313">
        <f t="shared" si="12"/>
        <v>0</v>
      </c>
      <c r="C313">
        <f t="shared" si="13"/>
        <v>1</v>
      </c>
      <c r="D313">
        <f t="shared" si="14"/>
        <v>0</v>
      </c>
    </row>
    <row r="314" spans="1:4">
      <c r="A314" t="s">
        <v>24</v>
      </c>
      <c r="B314">
        <f t="shared" si="12"/>
        <v>0</v>
      </c>
      <c r="C314">
        <f t="shared" si="13"/>
        <v>1</v>
      </c>
      <c r="D314">
        <f t="shared" si="14"/>
        <v>0</v>
      </c>
    </row>
    <row r="315" spans="1:4">
      <c r="A315" t="s">
        <v>24</v>
      </c>
      <c r="B315">
        <f t="shared" si="12"/>
        <v>0</v>
      </c>
      <c r="C315">
        <f t="shared" si="13"/>
        <v>1</v>
      </c>
      <c r="D315">
        <f t="shared" si="14"/>
        <v>0</v>
      </c>
    </row>
    <row r="316" spans="1:4">
      <c r="A316" t="s">
        <v>20</v>
      </c>
      <c r="B316">
        <f t="shared" si="12"/>
        <v>1</v>
      </c>
      <c r="C316">
        <f t="shared" si="13"/>
        <v>0</v>
      </c>
      <c r="D316">
        <f t="shared" si="14"/>
        <v>0</v>
      </c>
    </row>
    <row r="317" spans="1:4">
      <c r="A317" t="s">
        <v>20</v>
      </c>
      <c r="B317">
        <f t="shared" si="12"/>
        <v>1</v>
      </c>
      <c r="C317">
        <f t="shared" si="13"/>
        <v>0</v>
      </c>
      <c r="D317">
        <f t="shared" si="14"/>
        <v>0</v>
      </c>
    </row>
    <row r="318" spans="1:4">
      <c r="A318" t="s">
        <v>20</v>
      </c>
      <c r="B318">
        <f t="shared" si="12"/>
        <v>1</v>
      </c>
      <c r="C318">
        <f t="shared" si="13"/>
        <v>0</v>
      </c>
      <c r="D318">
        <f t="shared" si="14"/>
        <v>0</v>
      </c>
    </row>
    <row r="319" spans="1:4">
      <c r="A319" t="s">
        <v>20</v>
      </c>
      <c r="B319">
        <f t="shared" si="12"/>
        <v>1</v>
      </c>
      <c r="C319">
        <f t="shared" si="13"/>
        <v>0</v>
      </c>
      <c r="D319">
        <f t="shared" si="14"/>
        <v>0</v>
      </c>
    </row>
    <row r="320" spans="1:4">
      <c r="A320" t="s">
        <v>15</v>
      </c>
      <c r="B320">
        <f t="shared" si="12"/>
        <v>0</v>
      </c>
      <c r="C320">
        <f t="shared" si="13"/>
        <v>0</v>
      </c>
      <c r="D320">
        <f t="shared" si="14"/>
        <v>1</v>
      </c>
    </row>
    <row r="321" spans="1:4">
      <c r="A321" t="s">
        <v>15</v>
      </c>
      <c r="B321">
        <f t="shared" si="12"/>
        <v>0</v>
      </c>
      <c r="C321">
        <f t="shared" si="13"/>
        <v>0</v>
      </c>
      <c r="D321">
        <f t="shared" si="14"/>
        <v>1</v>
      </c>
    </row>
    <row r="322" spans="1:4">
      <c r="A322" t="s">
        <v>15</v>
      </c>
      <c r="B322">
        <f t="shared" si="12"/>
        <v>0</v>
      </c>
      <c r="C322">
        <f t="shared" si="13"/>
        <v>0</v>
      </c>
      <c r="D322">
        <f t="shared" si="14"/>
        <v>1</v>
      </c>
    </row>
    <row r="323" spans="1:4">
      <c r="A323" t="s">
        <v>15</v>
      </c>
      <c r="B323">
        <f t="shared" si="12"/>
        <v>0</v>
      </c>
      <c r="C323">
        <f t="shared" si="13"/>
        <v>0</v>
      </c>
      <c r="D323">
        <f t="shared" si="14"/>
        <v>1</v>
      </c>
    </row>
  </sheetData>
  <mergeCells count="2">
    <mergeCell ref="A1:D1"/>
    <mergeCell ref="F9:K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603C-F031-4898-8A96-432ECAEDEC5D}">
  <dimension ref="A1:I38"/>
  <sheetViews>
    <sheetView topLeftCell="A7" zoomScale="65" zoomScaleNormal="80" workbookViewId="0">
      <selection activeCell="L22" sqref="L22"/>
    </sheetView>
  </sheetViews>
  <sheetFormatPr defaultRowHeight="14.4"/>
  <cols>
    <col min="1" max="1" width="22.2187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ht="15.6">
      <c r="A1" s="16" t="s">
        <v>139</v>
      </c>
      <c r="B1" s="23"/>
      <c r="C1" s="23"/>
      <c r="D1" s="23"/>
      <c r="E1" s="23"/>
      <c r="F1" s="23"/>
      <c r="G1" s="23"/>
      <c r="H1" s="23"/>
      <c r="I1" s="23"/>
    </row>
    <row r="3" spans="1:9">
      <c r="A3" t="s">
        <v>105</v>
      </c>
    </row>
    <row r="4" spans="1:9" ht="15" thickBot="1"/>
    <row r="5" spans="1:9">
      <c r="A5" s="6" t="s">
        <v>106</v>
      </c>
      <c r="B5" s="6"/>
    </row>
    <row r="6" spans="1:9">
      <c r="A6" s="3" t="s">
        <v>107</v>
      </c>
      <c r="B6" s="3">
        <v>0.90241558448743486</v>
      </c>
    </row>
    <row r="7" spans="1:9">
      <c r="A7" s="11" t="s">
        <v>108</v>
      </c>
      <c r="B7" s="11">
        <v>0.8143538871257987</v>
      </c>
    </row>
    <row r="8" spans="1:9">
      <c r="A8" s="3" t="s">
        <v>109</v>
      </c>
      <c r="B8" s="3">
        <v>0.81018874997798007</v>
      </c>
    </row>
    <row r="9" spans="1:9">
      <c r="A9" s="3" t="s">
        <v>110</v>
      </c>
      <c r="B9" s="3">
        <v>45210.536721963079</v>
      </c>
    </row>
    <row r="10" spans="1:9" ht="15" thickBot="1">
      <c r="A10" s="4" t="s">
        <v>111</v>
      </c>
      <c r="B10" s="4">
        <v>320</v>
      </c>
    </row>
    <row r="12" spans="1:9" ht="15" thickBot="1">
      <c r="A12" t="s">
        <v>112</v>
      </c>
    </row>
    <row r="13" spans="1:9">
      <c r="A13" s="5"/>
      <c r="B13" s="5" t="s">
        <v>117</v>
      </c>
      <c r="C13" s="5" t="s">
        <v>118</v>
      </c>
      <c r="D13" s="5" t="s">
        <v>119</v>
      </c>
      <c r="E13" s="5" t="s">
        <v>120</v>
      </c>
      <c r="F13" s="5" t="s">
        <v>121</v>
      </c>
    </row>
    <row r="14" spans="1:9">
      <c r="A14" s="3" t="s">
        <v>113</v>
      </c>
      <c r="B14" s="3">
        <v>7</v>
      </c>
      <c r="C14" s="3">
        <v>2797442916016.0918</v>
      </c>
      <c r="D14" s="3">
        <v>399634702288.01312</v>
      </c>
      <c r="E14" s="3">
        <v>195.51670406634639</v>
      </c>
      <c r="F14" s="3">
        <v>4.6445309257880669E-110</v>
      </c>
    </row>
    <row r="15" spans="1:9">
      <c r="A15" s="3" t="s">
        <v>114</v>
      </c>
      <c r="B15" s="3">
        <v>312</v>
      </c>
      <c r="C15" s="3">
        <v>637725700774.64734</v>
      </c>
      <c r="D15" s="3">
        <v>2043992630.6879723</v>
      </c>
      <c r="E15" s="3"/>
      <c r="F15" s="3"/>
    </row>
    <row r="16" spans="1:9" ht="15" thickBot="1">
      <c r="A16" s="4" t="s">
        <v>115</v>
      </c>
      <c r="B16" s="4">
        <v>319</v>
      </c>
      <c r="C16" s="4">
        <v>3435168616790.7393</v>
      </c>
      <c r="D16" s="4"/>
      <c r="E16" s="4"/>
      <c r="F16" s="4"/>
    </row>
    <row r="17" spans="1:9" ht="15" thickBot="1"/>
    <row r="18" spans="1:9">
      <c r="A18" s="5"/>
      <c r="B18" s="5" t="s">
        <v>122</v>
      </c>
      <c r="C18" s="5" t="s">
        <v>110</v>
      </c>
      <c r="D18" s="5" t="s">
        <v>123</v>
      </c>
      <c r="E18" s="5" t="s">
        <v>124</v>
      </c>
      <c r="F18" s="5" t="s">
        <v>125</v>
      </c>
      <c r="G18" s="5" t="s">
        <v>126</v>
      </c>
      <c r="H18" s="5" t="s">
        <v>127</v>
      </c>
      <c r="I18" s="5" t="s">
        <v>128</v>
      </c>
    </row>
    <row r="19" spans="1:9">
      <c r="A19" s="3" t="s">
        <v>116</v>
      </c>
      <c r="B19" s="3">
        <v>98015.505293611641</v>
      </c>
      <c r="C19" s="3">
        <v>49240.190107029855</v>
      </c>
      <c r="D19" s="3">
        <v>1.9905590348161206</v>
      </c>
      <c r="E19" s="3">
        <v>4.7401555485763656E-2</v>
      </c>
      <c r="F19" s="3">
        <v>1130.6797083119454</v>
      </c>
      <c r="G19" s="3">
        <v>194900.33087891134</v>
      </c>
      <c r="H19" s="3">
        <v>1130.6797083119454</v>
      </c>
      <c r="I19" s="3">
        <v>194900.33087891134</v>
      </c>
    </row>
    <row r="20" spans="1:9">
      <c r="A20" s="3" t="s">
        <v>4</v>
      </c>
      <c r="B20" s="3">
        <v>1.2022733755380193</v>
      </c>
      <c r="C20" s="3">
        <v>0.1310810658261615</v>
      </c>
      <c r="D20" s="3">
        <v>9.1719835199727715</v>
      </c>
      <c r="E20" s="11">
        <v>6.4895961423108102E-18</v>
      </c>
      <c r="F20" s="3">
        <v>0.94435872954460864</v>
      </c>
      <c r="G20" s="3">
        <v>1.46018802153143</v>
      </c>
      <c r="H20" s="3">
        <v>0.94435872954460864</v>
      </c>
      <c r="I20" s="3">
        <v>1.46018802153143</v>
      </c>
    </row>
    <row r="21" spans="1:9">
      <c r="A21" s="3" t="s">
        <v>5</v>
      </c>
      <c r="B21" s="3">
        <v>33.984256525692416</v>
      </c>
      <c r="C21" s="3">
        <v>1.0501162586163757</v>
      </c>
      <c r="D21" s="3">
        <v>32.362375353058326</v>
      </c>
      <c r="E21" s="11">
        <v>1.0011259365747961E-101</v>
      </c>
      <c r="F21" s="3">
        <v>31.918051453388891</v>
      </c>
      <c r="G21" s="3">
        <v>36.050461597995941</v>
      </c>
      <c r="H21" s="3">
        <v>31.918051453388891</v>
      </c>
      <c r="I21" s="3">
        <v>36.050461597995941</v>
      </c>
    </row>
    <row r="22" spans="1:9">
      <c r="A22" s="3" t="s">
        <v>8</v>
      </c>
      <c r="B22" s="3">
        <v>2886.7346999222018</v>
      </c>
      <c r="C22" s="3">
        <v>475.77927118864909</v>
      </c>
      <c r="D22" s="3">
        <v>6.0673822394788521</v>
      </c>
      <c r="E22" s="24">
        <v>3.7620281151327861E-9</v>
      </c>
      <c r="F22" s="3">
        <v>1950.5930724017117</v>
      </c>
      <c r="G22" s="3">
        <v>3822.8763274426919</v>
      </c>
      <c r="H22" s="3">
        <v>1950.5930724017117</v>
      </c>
      <c r="I22" s="3">
        <v>3822.8763274426919</v>
      </c>
    </row>
    <row r="23" spans="1:9">
      <c r="A23" s="3" t="s">
        <v>11</v>
      </c>
      <c r="B23" s="3">
        <v>11024.990508286359</v>
      </c>
      <c r="C23" s="3">
        <v>4944.747637042412</v>
      </c>
      <c r="D23" s="3">
        <v>2.2296366402392795</v>
      </c>
      <c r="E23" s="11">
        <v>2.6483016764534229E-2</v>
      </c>
      <c r="F23" s="3">
        <v>1295.7223771752742</v>
      </c>
      <c r="G23" s="3">
        <v>20754.258639397442</v>
      </c>
      <c r="H23" s="3">
        <v>1295.7223771752742</v>
      </c>
      <c r="I23" s="3">
        <v>20754.258639397442</v>
      </c>
    </row>
    <row r="24" spans="1:9">
      <c r="A24" s="3" t="s">
        <v>102</v>
      </c>
      <c r="B24" s="3">
        <v>-8375.7105506221596</v>
      </c>
      <c r="C24" s="3">
        <v>7393.5748691685512</v>
      </c>
      <c r="D24" s="3">
        <v>-1.1328363746675707</v>
      </c>
      <c r="E24" s="24">
        <v>0.25815277191625158</v>
      </c>
      <c r="F24" s="3">
        <v>-22923.282566372414</v>
      </c>
      <c r="G24" s="3">
        <v>6171.8614651280968</v>
      </c>
      <c r="H24" s="3">
        <v>-22923.282566372414</v>
      </c>
      <c r="I24" s="3">
        <v>6171.8614651280968</v>
      </c>
    </row>
    <row r="25" spans="1:9">
      <c r="A25" s="3" t="s">
        <v>103</v>
      </c>
      <c r="B25" s="3">
        <v>4929.5867029748733</v>
      </c>
      <c r="C25" s="3">
        <v>7513.8352048533061</v>
      </c>
      <c r="D25" s="3">
        <v>0.6560679824054132</v>
      </c>
      <c r="E25" s="24">
        <v>0.51226391189306986</v>
      </c>
      <c r="F25" s="3">
        <v>-9854.609128043383</v>
      </c>
      <c r="G25" s="3">
        <v>19713.78253399313</v>
      </c>
      <c r="H25" s="3">
        <v>-9854.609128043383</v>
      </c>
      <c r="I25" s="3">
        <v>19713.78253399313</v>
      </c>
    </row>
    <row r="26" spans="1:9" ht="15" thickBot="1">
      <c r="A26" s="4" t="s">
        <v>104</v>
      </c>
      <c r="B26" s="4">
        <v>-17042.833351391306</v>
      </c>
      <c r="C26" s="4">
        <v>6518.076438685046</v>
      </c>
      <c r="D26" s="4">
        <v>-2.6147028976587947</v>
      </c>
      <c r="E26" s="13">
        <v>9.3640863783047337E-3</v>
      </c>
      <c r="F26" s="4">
        <v>-29867.77772185373</v>
      </c>
      <c r="G26" s="4">
        <v>-4217.8889809288812</v>
      </c>
      <c r="H26" s="4">
        <v>-29867.77772185373</v>
      </c>
      <c r="I26" s="4">
        <v>-4217.8889809288812</v>
      </c>
    </row>
    <row r="29" spans="1:9">
      <c r="A29" s="19" t="s">
        <v>140</v>
      </c>
      <c r="B29" s="20"/>
      <c r="C29" s="20"/>
      <c r="D29" s="20"/>
      <c r="E29" s="20"/>
      <c r="F29" s="20"/>
      <c r="G29" s="20"/>
      <c r="H29" s="20"/>
      <c r="I29" s="20"/>
    </row>
    <row r="30" spans="1:9">
      <c r="A30" s="20"/>
      <c r="B30" s="20"/>
      <c r="C30" s="20"/>
      <c r="D30" s="20"/>
      <c r="E30" s="20"/>
      <c r="F30" s="20"/>
      <c r="G30" s="20"/>
      <c r="H30" s="20"/>
      <c r="I30" s="20"/>
    </row>
    <row r="31" spans="1:9">
      <c r="A31" s="20"/>
      <c r="B31" s="20"/>
      <c r="C31" s="20"/>
      <c r="D31" s="20"/>
      <c r="E31" s="20"/>
      <c r="F31" s="20"/>
      <c r="G31" s="20"/>
      <c r="H31" s="20"/>
      <c r="I31" s="20"/>
    </row>
    <row r="32" spans="1:9">
      <c r="A32" s="20"/>
      <c r="B32" s="20"/>
      <c r="C32" s="20"/>
      <c r="D32" s="20"/>
      <c r="E32" s="20"/>
      <c r="F32" s="20"/>
      <c r="G32" s="20"/>
      <c r="H32" s="20"/>
      <c r="I32" s="20"/>
    </row>
    <row r="33" spans="1:9">
      <c r="A33" s="20"/>
      <c r="B33" s="20"/>
      <c r="C33" s="20"/>
      <c r="D33" s="20"/>
      <c r="E33" s="20"/>
      <c r="F33" s="20"/>
      <c r="G33" s="20"/>
      <c r="H33" s="20"/>
      <c r="I33" s="20"/>
    </row>
    <row r="34" spans="1:9">
      <c r="A34" s="20"/>
      <c r="B34" s="20"/>
      <c r="C34" s="20"/>
      <c r="D34" s="20"/>
      <c r="E34" s="20"/>
      <c r="F34" s="20"/>
      <c r="G34" s="20"/>
      <c r="H34" s="20"/>
      <c r="I34" s="20"/>
    </row>
    <row r="35" spans="1:9">
      <c r="A35" s="20"/>
      <c r="B35" s="20"/>
      <c r="C35" s="20"/>
      <c r="D35" s="20"/>
      <c r="E35" s="20"/>
      <c r="F35" s="20"/>
      <c r="G35" s="20"/>
      <c r="H35" s="20"/>
      <c r="I35" s="20"/>
    </row>
    <row r="36" spans="1:9">
      <c r="A36" s="20"/>
      <c r="B36" s="20"/>
      <c r="C36" s="20"/>
      <c r="D36" s="20"/>
      <c r="E36" s="20"/>
      <c r="F36" s="20"/>
      <c r="G36" s="20"/>
      <c r="H36" s="20"/>
      <c r="I36" s="20"/>
    </row>
    <row r="37" spans="1:9">
      <c r="A37" s="20"/>
      <c r="B37" s="20"/>
      <c r="C37" s="20"/>
      <c r="D37" s="20"/>
      <c r="E37" s="20"/>
      <c r="F37" s="20"/>
      <c r="G37" s="20"/>
      <c r="H37" s="20"/>
      <c r="I37" s="20"/>
    </row>
    <row r="38" spans="1:9">
      <c r="A38" s="20"/>
      <c r="B38" s="20"/>
      <c r="C38" s="20"/>
      <c r="D38" s="20"/>
      <c r="E38" s="20"/>
      <c r="F38" s="20"/>
      <c r="G38" s="20"/>
      <c r="H38" s="20"/>
      <c r="I38" s="20"/>
    </row>
  </sheetData>
  <mergeCells count="2">
    <mergeCell ref="A1:I1"/>
    <mergeCell ref="A29:I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868E-64CA-49D7-95F4-83B9D853CE35}">
  <dimension ref="A1:N324"/>
  <sheetViews>
    <sheetView topLeftCell="F1" workbookViewId="0">
      <selection activeCell="J7" sqref="J7:N11"/>
    </sheetView>
  </sheetViews>
  <sheetFormatPr defaultRowHeight="14.4"/>
  <cols>
    <col min="6" max="6" width="12.6640625" bestFit="1" customWidth="1"/>
    <col min="7" max="7" width="12.77734375" bestFit="1" customWidth="1"/>
    <col min="8" max="8" width="11.21875" bestFit="1" customWidth="1"/>
  </cols>
  <sheetData>
    <row r="1" spans="1:14">
      <c r="A1" s="9" t="s">
        <v>137</v>
      </c>
      <c r="B1" s="10"/>
      <c r="C1" s="10"/>
      <c r="D1" s="10"/>
      <c r="E1" s="10"/>
      <c r="F1" s="10"/>
      <c r="G1" s="10"/>
      <c r="H1" s="10"/>
    </row>
    <row r="3" spans="1:14" ht="55.2">
      <c r="A3" s="21" t="s">
        <v>12</v>
      </c>
      <c r="B3" s="21" t="s">
        <v>4</v>
      </c>
      <c r="C3" s="21" t="s">
        <v>5</v>
      </c>
      <c r="D3" s="21" t="s">
        <v>8</v>
      </c>
      <c r="E3" s="21" t="s">
        <v>11</v>
      </c>
      <c r="F3" s="22" t="s">
        <v>102</v>
      </c>
      <c r="G3" s="22" t="s">
        <v>103</v>
      </c>
      <c r="H3" s="22" t="s">
        <v>104</v>
      </c>
    </row>
    <row r="4" spans="1:14">
      <c r="A4">
        <v>658832.62</v>
      </c>
      <c r="B4">
        <v>70389.11</v>
      </c>
      <c r="C4">
        <v>8302</v>
      </c>
      <c r="D4">
        <v>75</v>
      </c>
      <c r="E4">
        <v>3.1</v>
      </c>
      <c r="F4" s="8">
        <v>0</v>
      </c>
      <c r="G4" s="8">
        <v>0</v>
      </c>
      <c r="H4" s="8">
        <v>1</v>
      </c>
    </row>
    <row r="5" spans="1:14">
      <c r="A5">
        <v>634436</v>
      </c>
      <c r="B5">
        <v>43827.89</v>
      </c>
      <c r="C5">
        <v>8487</v>
      </c>
      <c r="D5">
        <v>84.4</v>
      </c>
      <c r="E5">
        <v>2.8</v>
      </c>
      <c r="F5" s="8">
        <v>0</v>
      </c>
      <c r="G5" s="8">
        <v>0</v>
      </c>
      <c r="H5" s="8">
        <v>1</v>
      </c>
    </row>
    <row r="6" spans="1:14">
      <c r="A6">
        <v>678722.06</v>
      </c>
      <c r="B6">
        <v>59921.75</v>
      </c>
      <c r="C6">
        <v>9113</v>
      </c>
      <c r="D6">
        <v>88</v>
      </c>
      <c r="E6">
        <v>3.2</v>
      </c>
      <c r="F6" s="8">
        <v>0</v>
      </c>
      <c r="G6" s="8">
        <v>0</v>
      </c>
      <c r="H6" s="8">
        <v>1</v>
      </c>
    </row>
    <row r="7" spans="1:14">
      <c r="A7">
        <v>658920.30000000005</v>
      </c>
      <c r="B7">
        <v>56856.63</v>
      </c>
      <c r="C7">
        <v>9431</v>
      </c>
      <c r="D7">
        <v>86.9</v>
      </c>
      <c r="E7">
        <v>3.4</v>
      </c>
      <c r="F7" s="8">
        <v>0</v>
      </c>
      <c r="G7" s="8">
        <v>0</v>
      </c>
      <c r="H7" s="8">
        <v>1</v>
      </c>
      <c r="J7" s="14" t="s">
        <v>138</v>
      </c>
      <c r="K7" s="15"/>
      <c r="L7" s="15"/>
      <c r="M7" s="15"/>
      <c r="N7" s="15"/>
    </row>
    <row r="8" spans="1:14">
      <c r="A8">
        <v>741341.44</v>
      </c>
      <c r="B8">
        <v>48412.639999999999</v>
      </c>
      <c r="C8">
        <v>9545</v>
      </c>
      <c r="D8">
        <v>97.6</v>
      </c>
      <c r="E8">
        <v>4.2</v>
      </c>
      <c r="F8" s="8">
        <v>0</v>
      </c>
      <c r="G8" s="8">
        <v>0</v>
      </c>
      <c r="H8" s="8">
        <v>1</v>
      </c>
      <c r="J8" s="15"/>
      <c r="K8" s="15"/>
      <c r="L8" s="15"/>
      <c r="M8" s="15"/>
      <c r="N8" s="15"/>
    </row>
    <row r="9" spans="1:14">
      <c r="A9">
        <v>761835.34</v>
      </c>
      <c r="B9">
        <v>64811.21</v>
      </c>
      <c r="C9">
        <v>9792</v>
      </c>
      <c r="D9">
        <v>84.2</v>
      </c>
      <c r="E9">
        <v>4.2</v>
      </c>
      <c r="F9" s="8">
        <v>0</v>
      </c>
      <c r="G9" s="8">
        <v>0</v>
      </c>
      <c r="H9" s="8">
        <v>1</v>
      </c>
      <c r="J9" s="15"/>
      <c r="K9" s="15"/>
      <c r="L9" s="15"/>
      <c r="M9" s="15"/>
      <c r="N9" s="15"/>
    </row>
    <row r="10" spans="1:14">
      <c r="A10">
        <v>806615.54</v>
      </c>
      <c r="B10">
        <v>46213.45</v>
      </c>
      <c r="C10">
        <v>10616</v>
      </c>
      <c r="D10">
        <v>85.2</v>
      </c>
      <c r="E10">
        <v>4.0999999999999996</v>
      </c>
      <c r="F10" s="8">
        <v>0</v>
      </c>
      <c r="G10" s="8">
        <v>0</v>
      </c>
      <c r="H10" s="8">
        <v>1</v>
      </c>
      <c r="J10" s="15"/>
      <c r="K10" s="15"/>
      <c r="L10" s="15"/>
      <c r="M10" s="15"/>
      <c r="N10" s="15"/>
    </row>
    <row r="11" spans="1:14">
      <c r="A11">
        <v>850164.26</v>
      </c>
      <c r="B11">
        <v>68148.52</v>
      </c>
      <c r="C11">
        <v>8567</v>
      </c>
      <c r="D11">
        <v>95.6</v>
      </c>
      <c r="E11">
        <v>3.9</v>
      </c>
      <c r="F11" s="8">
        <v>0</v>
      </c>
      <c r="G11" s="8">
        <v>0</v>
      </c>
      <c r="H11" s="8">
        <v>1</v>
      </c>
      <c r="J11" s="15"/>
      <c r="K11" s="15"/>
      <c r="L11" s="15"/>
      <c r="M11" s="15"/>
      <c r="N11" s="15"/>
    </row>
    <row r="12" spans="1:14">
      <c r="A12">
        <v>930581.7</v>
      </c>
      <c r="B12">
        <v>71838.86</v>
      </c>
      <c r="C12">
        <v>10979</v>
      </c>
      <c r="D12">
        <v>88.6</v>
      </c>
      <c r="E12">
        <v>3.8</v>
      </c>
      <c r="F12" s="8">
        <v>1</v>
      </c>
      <c r="G12" s="8">
        <v>0</v>
      </c>
      <c r="H12" s="8">
        <v>0</v>
      </c>
    </row>
    <row r="13" spans="1:14">
      <c r="A13">
        <v>779010.94</v>
      </c>
      <c r="B13">
        <v>68133.440000000002</v>
      </c>
      <c r="C13">
        <v>9459</v>
      </c>
      <c r="D13">
        <v>85</v>
      </c>
      <c r="E13">
        <v>4.2</v>
      </c>
      <c r="F13" s="8">
        <v>1</v>
      </c>
      <c r="G13" s="8">
        <v>0</v>
      </c>
      <c r="H13" s="8">
        <v>0</v>
      </c>
    </row>
    <row r="14" spans="1:14">
      <c r="A14">
        <v>723060.76</v>
      </c>
      <c r="B14">
        <v>34285.21</v>
      </c>
      <c r="C14">
        <v>9172</v>
      </c>
      <c r="D14">
        <v>88.3</v>
      </c>
      <c r="E14">
        <v>3.8</v>
      </c>
      <c r="F14" s="8">
        <v>1</v>
      </c>
      <c r="G14" s="8">
        <v>0</v>
      </c>
      <c r="H14" s="8">
        <v>0</v>
      </c>
    </row>
    <row r="15" spans="1:14">
      <c r="A15">
        <v>910791.94</v>
      </c>
      <c r="B15">
        <v>67979.88</v>
      </c>
      <c r="C15">
        <v>11230</v>
      </c>
      <c r="D15">
        <v>85.3</v>
      </c>
      <c r="E15">
        <v>3.8</v>
      </c>
      <c r="F15" s="8">
        <v>1</v>
      </c>
      <c r="G15" s="8">
        <v>0</v>
      </c>
      <c r="H15" s="8">
        <v>0</v>
      </c>
    </row>
    <row r="16" spans="1:14">
      <c r="A16">
        <v>922168.6</v>
      </c>
      <c r="B16">
        <v>71828.259999999995</v>
      </c>
      <c r="C16">
        <v>12775</v>
      </c>
      <c r="D16">
        <v>81.7</v>
      </c>
      <c r="E16">
        <v>4.2</v>
      </c>
      <c r="F16" s="8">
        <v>0</v>
      </c>
      <c r="G16" s="8">
        <v>0</v>
      </c>
      <c r="H16" s="8">
        <v>1</v>
      </c>
    </row>
    <row r="17" spans="1:8">
      <c r="A17">
        <v>726606.28</v>
      </c>
      <c r="B17">
        <v>55716.82</v>
      </c>
      <c r="C17">
        <v>10054</v>
      </c>
      <c r="D17">
        <v>84.9</v>
      </c>
      <c r="E17">
        <v>4.3</v>
      </c>
      <c r="F17" s="8">
        <v>0</v>
      </c>
      <c r="G17" s="8">
        <v>0</v>
      </c>
      <c r="H17" s="8">
        <v>1</v>
      </c>
    </row>
    <row r="18" spans="1:8">
      <c r="A18">
        <v>746501.09</v>
      </c>
      <c r="B18">
        <v>59909.51</v>
      </c>
      <c r="C18">
        <v>8895</v>
      </c>
      <c r="D18">
        <v>88.8</v>
      </c>
      <c r="E18">
        <v>4.3</v>
      </c>
      <c r="F18" s="8">
        <v>0</v>
      </c>
      <c r="G18" s="8">
        <v>0</v>
      </c>
      <c r="H18" s="8">
        <v>1</v>
      </c>
    </row>
    <row r="19" spans="1:8">
      <c r="A19">
        <v>834017.02</v>
      </c>
      <c r="B19">
        <v>75305.710000000006</v>
      </c>
      <c r="C19">
        <v>10940</v>
      </c>
      <c r="D19">
        <v>76.5</v>
      </c>
      <c r="E19">
        <v>4.5</v>
      </c>
      <c r="F19" s="8">
        <v>0</v>
      </c>
      <c r="G19" s="8">
        <v>0</v>
      </c>
      <c r="H19" s="8">
        <v>1</v>
      </c>
    </row>
    <row r="20" spans="1:8">
      <c r="A20">
        <v>666152.52</v>
      </c>
      <c r="B20">
        <v>48804.22</v>
      </c>
      <c r="C20">
        <v>7057</v>
      </c>
      <c r="D20">
        <v>87.7</v>
      </c>
      <c r="E20">
        <v>3.7</v>
      </c>
      <c r="F20" s="8">
        <v>0</v>
      </c>
      <c r="G20" s="8">
        <v>1</v>
      </c>
      <c r="H20" s="8">
        <v>0</v>
      </c>
    </row>
    <row r="21" spans="1:8">
      <c r="A21">
        <v>573155.18999999994</v>
      </c>
      <c r="B21">
        <v>59117.9</v>
      </c>
      <c r="C21">
        <v>4263</v>
      </c>
      <c r="D21">
        <v>87.6</v>
      </c>
      <c r="E21">
        <v>3.6</v>
      </c>
      <c r="F21" s="8">
        <v>0</v>
      </c>
      <c r="G21" s="8">
        <v>1</v>
      </c>
      <c r="H21" s="8">
        <v>0</v>
      </c>
    </row>
    <row r="22" spans="1:8">
      <c r="A22">
        <v>666573.19999999995</v>
      </c>
      <c r="B22">
        <v>78831.12</v>
      </c>
      <c r="C22">
        <v>5538</v>
      </c>
      <c r="D22">
        <v>94.1</v>
      </c>
      <c r="E22">
        <v>3.9</v>
      </c>
      <c r="F22" s="8">
        <v>0</v>
      </c>
      <c r="G22" s="8">
        <v>1</v>
      </c>
      <c r="H22" s="8">
        <v>0</v>
      </c>
    </row>
    <row r="23" spans="1:8">
      <c r="A23">
        <v>591619.94999999995</v>
      </c>
      <c r="B23">
        <v>41441.93</v>
      </c>
      <c r="C23">
        <v>4865</v>
      </c>
      <c r="D23">
        <v>88.3</v>
      </c>
      <c r="E23">
        <v>4</v>
      </c>
      <c r="F23" s="8">
        <v>0</v>
      </c>
      <c r="G23" s="8">
        <v>1</v>
      </c>
      <c r="H23" s="8">
        <v>0</v>
      </c>
    </row>
    <row r="24" spans="1:8">
      <c r="A24">
        <v>415721.82</v>
      </c>
      <c r="B24">
        <v>30356.28</v>
      </c>
      <c r="C24">
        <v>2822</v>
      </c>
      <c r="D24">
        <v>84.8</v>
      </c>
      <c r="E24">
        <v>5</v>
      </c>
      <c r="F24" s="8">
        <v>1</v>
      </c>
      <c r="G24" s="8">
        <v>0</v>
      </c>
      <c r="H24" s="8">
        <v>0</v>
      </c>
    </row>
    <row r="25" spans="1:8">
      <c r="A25">
        <v>491905.13</v>
      </c>
      <c r="B25">
        <v>33518.879999999997</v>
      </c>
      <c r="C25">
        <v>2121</v>
      </c>
      <c r="D25">
        <v>88.5</v>
      </c>
      <c r="E25">
        <v>5</v>
      </c>
      <c r="F25" s="8">
        <v>1</v>
      </c>
      <c r="G25" s="8">
        <v>0</v>
      </c>
      <c r="H25" s="8">
        <v>0</v>
      </c>
    </row>
    <row r="26" spans="1:8">
      <c r="A26">
        <v>555929.4</v>
      </c>
      <c r="B26">
        <v>42267.37</v>
      </c>
      <c r="C26">
        <v>3364</v>
      </c>
      <c r="D26">
        <v>82</v>
      </c>
      <c r="E26">
        <v>4.5999999999999996</v>
      </c>
      <c r="F26" s="8">
        <v>1</v>
      </c>
      <c r="G26" s="8">
        <v>0</v>
      </c>
      <c r="H26" s="8">
        <v>0</v>
      </c>
    </row>
    <row r="27" spans="1:8">
      <c r="A27">
        <v>565810.99</v>
      </c>
      <c r="B27">
        <v>62060.43</v>
      </c>
      <c r="C27">
        <v>2613</v>
      </c>
      <c r="D27">
        <v>92.1</v>
      </c>
      <c r="E27">
        <v>4.7</v>
      </c>
      <c r="F27" s="8">
        <v>1</v>
      </c>
      <c r="G27" s="8">
        <v>0</v>
      </c>
      <c r="H27" s="8">
        <v>0</v>
      </c>
    </row>
    <row r="28" spans="1:8">
      <c r="A28">
        <v>811771.14</v>
      </c>
      <c r="B28">
        <v>57696.69</v>
      </c>
      <c r="C28">
        <v>10218</v>
      </c>
      <c r="D28">
        <v>94.8</v>
      </c>
      <c r="E28">
        <v>3.5</v>
      </c>
      <c r="F28" s="8">
        <v>0</v>
      </c>
      <c r="G28" s="8">
        <v>0</v>
      </c>
      <c r="H28" s="8">
        <v>0</v>
      </c>
    </row>
    <row r="29" spans="1:8">
      <c r="A29">
        <v>800451.94</v>
      </c>
      <c r="B29">
        <v>172415.52</v>
      </c>
      <c r="C29">
        <v>8927</v>
      </c>
      <c r="D29">
        <v>86.2</v>
      </c>
      <c r="E29">
        <v>3.9</v>
      </c>
      <c r="F29" s="8">
        <v>0</v>
      </c>
      <c r="G29" s="8">
        <v>0</v>
      </c>
      <c r="H29" s="8">
        <v>0</v>
      </c>
    </row>
    <row r="30" spans="1:8">
      <c r="A30">
        <v>783672.82</v>
      </c>
      <c r="B30">
        <v>55270.52</v>
      </c>
      <c r="C30">
        <v>9315</v>
      </c>
      <c r="D30">
        <v>91.9</v>
      </c>
      <c r="E30">
        <v>4</v>
      </c>
      <c r="F30" s="8">
        <v>0</v>
      </c>
      <c r="G30" s="8">
        <v>0</v>
      </c>
      <c r="H30" s="8">
        <v>0</v>
      </c>
    </row>
    <row r="31" spans="1:8">
      <c r="A31">
        <v>701641.97</v>
      </c>
      <c r="B31">
        <v>52715.1</v>
      </c>
      <c r="C31">
        <v>7223</v>
      </c>
      <c r="D31">
        <v>84.2</v>
      </c>
      <c r="E31">
        <v>3.7</v>
      </c>
      <c r="F31" s="8">
        <v>0</v>
      </c>
      <c r="G31" s="8">
        <v>0</v>
      </c>
      <c r="H31" s="8">
        <v>0</v>
      </c>
    </row>
    <row r="32" spans="1:8">
      <c r="A32">
        <v>511844.41</v>
      </c>
      <c r="B32">
        <v>68600.62</v>
      </c>
      <c r="C32">
        <v>3988</v>
      </c>
      <c r="D32">
        <v>85</v>
      </c>
      <c r="E32">
        <v>3.6</v>
      </c>
      <c r="F32" s="8">
        <v>0</v>
      </c>
      <c r="G32" s="8">
        <v>0</v>
      </c>
      <c r="H32" s="8">
        <v>1</v>
      </c>
    </row>
    <row r="33" spans="1:8">
      <c r="A33">
        <v>537383.79</v>
      </c>
      <c r="B33">
        <v>63176.73</v>
      </c>
      <c r="C33">
        <v>2390</v>
      </c>
      <c r="D33">
        <v>87.5</v>
      </c>
      <c r="E33">
        <v>3.1</v>
      </c>
      <c r="F33" s="8">
        <v>0</v>
      </c>
      <c r="G33" s="8">
        <v>0</v>
      </c>
      <c r="H33" s="8">
        <v>1</v>
      </c>
    </row>
    <row r="34" spans="1:8">
      <c r="A34">
        <v>500173.02</v>
      </c>
      <c r="B34">
        <v>44970.080000000002</v>
      </c>
      <c r="C34">
        <v>2471</v>
      </c>
      <c r="D34">
        <v>87.6</v>
      </c>
      <c r="E34">
        <v>3.7</v>
      </c>
      <c r="F34" s="8">
        <v>0</v>
      </c>
      <c r="G34" s="8">
        <v>0</v>
      </c>
      <c r="H34" s="8">
        <v>1</v>
      </c>
    </row>
    <row r="35" spans="1:8">
      <c r="A35">
        <v>427917.38</v>
      </c>
      <c r="B35">
        <v>69816.350000000006</v>
      </c>
      <c r="C35">
        <v>971</v>
      </c>
      <c r="D35">
        <v>89.9</v>
      </c>
      <c r="E35">
        <v>3.6</v>
      </c>
      <c r="F35" s="8">
        <v>0</v>
      </c>
      <c r="G35" s="8">
        <v>0</v>
      </c>
      <c r="H35" s="8">
        <v>1</v>
      </c>
    </row>
    <row r="36" spans="1:8">
      <c r="A36">
        <v>641865.03</v>
      </c>
      <c r="B36">
        <v>54597.83</v>
      </c>
      <c r="C36">
        <v>9429</v>
      </c>
      <c r="D36">
        <v>83.3</v>
      </c>
      <c r="E36">
        <v>4.2</v>
      </c>
      <c r="F36" s="8">
        <v>1</v>
      </c>
      <c r="G36" s="8">
        <v>0</v>
      </c>
      <c r="H36" s="8">
        <v>0</v>
      </c>
    </row>
    <row r="37" spans="1:8">
      <c r="A37">
        <v>799477.76000000001</v>
      </c>
      <c r="B37">
        <v>73771.91</v>
      </c>
      <c r="C37">
        <v>11695</v>
      </c>
      <c r="D37">
        <v>84.7</v>
      </c>
      <c r="E37">
        <v>3.92</v>
      </c>
      <c r="F37" s="8">
        <v>1</v>
      </c>
      <c r="G37" s="8">
        <v>0</v>
      </c>
      <c r="H37" s="8">
        <v>0</v>
      </c>
    </row>
    <row r="38" spans="1:8">
      <c r="A38">
        <v>798952.17</v>
      </c>
      <c r="B38">
        <v>74413.88</v>
      </c>
      <c r="C38">
        <v>9449</v>
      </c>
      <c r="D38">
        <v>92.1</v>
      </c>
      <c r="E38">
        <v>3.5</v>
      </c>
      <c r="F38" s="8">
        <v>1</v>
      </c>
      <c r="G38" s="8">
        <v>0</v>
      </c>
      <c r="H38" s="8">
        <v>0</v>
      </c>
    </row>
    <row r="39" spans="1:8">
      <c r="A39">
        <v>800979.78</v>
      </c>
      <c r="B39">
        <v>52483.77</v>
      </c>
      <c r="C39">
        <v>10453</v>
      </c>
      <c r="D39">
        <v>99</v>
      </c>
      <c r="E39">
        <v>3.6</v>
      </c>
      <c r="F39" s="8">
        <v>1</v>
      </c>
      <c r="G39" s="8">
        <v>0</v>
      </c>
      <c r="H39" s="8">
        <v>0</v>
      </c>
    </row>
    <row r="40" spans="1:8">
      <c r="A40">
        <v>820593.93</v>
      </c>
      <c r="B40">
        <v>75269.87</v>
      </c>
      <c r="C40">
        <v>8838</v>
      </c>
      <c r="D40">
        <v>83.1</v>
      </c>
      <c r="E40">
        <v>4.2</v>
      </c>
      <c r="F40" s="8">
        <v>1</v>
      </c>
      <c r="G40" s="8">
        <v>0</v>
      </c>
      <c r="H40" s="8">
        <v>0</v>
      </c>
    </row>
    <row r="41" spans="1:8">
      <c r="A41">
        <v>718330.53</v>
      </c>
      <c r="B41">
        <v>61245.41</v>
      </c>
      <c r="C41">
        <v>8156</v>
      </c>
      <c r="D41">
        <v>92.9</v>
      </c>
      <c r="E41">
        <v>3.8</v>
      </c>
      <c r="F41" s="8">
        <v>1</v>
      </c>
      <c r="G41" s="8">
        <v>0</v>
      </c>
      <c r="H41" s="8">
        <v>0</v>
      </c>
    </row>
    <row r="42" spans="1:8">
      <c r="A42">
        <v>736633.4</v>
      </c>
      <c r="B42">
        <v>93381.26</v>
      </c>
      <c r="C42">
        <v>7562</v>
      </c>
      <c r="D42">
        <v>82.9</v>
      </c>
      <c r="E42">
        <v>4</v>
      </c>
      <c r="F42" s="8">
        <v>1</v>
      </c>
      <c r="G42" s="8">
        <v>0</v>
      </c>
      <c r="H42" s="8">
        <v>0</v>
      </c>
    </row>
    <row r="43" spans="1:8">
      <c r="A43">
        <v>828623.85</v>
      </c>
      <c r="B43">
        <v>65012.19</v>
      </c>
      <c r="C43">
        <v>9598</v>
      </c>
      <c r="D43">
        <v>98.3</v>
      </c>
      <c r="E43">
        <v>3.8</v>
      </c>
      <c r="F43" s="8">
        <v>1</v>
      </c>
      <c r="G43" s="8">
        <v>0</v>
      </c>
      <c r="H43" s="8">
        <v>0</v>
      </c>
    </row>
    <row r="44" spans="1:8">
      <c r="A44">
        <v>592195.85</v>
      </c>
      <c r="B44">
        <v>40462.94</v>
      </c>
      <c r="C44">
        <v>3660</v>
      </c>
      <c r="D44">
        <v>95.2</v>
      </c>
      <c r="E44">
        <v>4.4000000000000004</v>
      </c>
      <c r="F44" s="8">
        <v>0</v>
      </c>
      <c r="G44" s="8">
        <v>0</v>
      </c>
      <c r="H44" s="8">
        <v>1</v>
      </c>
    </row>
    <row r="45" spans="1:8">
      <c r="A45">
        <v>532644.46</v>
      </c>
      <c r="B45">
        <v>46123.88</v>
      </c>
      <c r="C45">
        <v>3227</v>
      </c>
      <c r="D45">
        <v>75.400000000000006</v>
      </c>
      <c r="E45">
        <v>4.4000000000000004</v>
      </c>
      <c r="F45" s="8">
        <v>0</v>
      </c>
      <c r="G45" s="8">
        <v>0</v>
      </c>
      <c r="H45" s="8">
        <v>1</v>
      </c>
    </row>
    <row r="46" spans="1:8">
      <c r="A46">
        <v>657429.18000000005</v>
      </c>
      <c r="B46">
        <v>68077.539999999994</v>
      </c>
      <c r="C46">
        <v>3360</v>
      </c>
      <c r="D46">
        <v>88.2</v>
      </c>
      <c r="E46">
        <v>4</v>
      </c>
      <c r="F46" s="8">
        <v>0</v>
      </c>
      <c r="G46" s="8">
        <v>0</v>
      </c>
      <c r="H46" s="8">
        <v>1</v>
      </c>
    </row>
    <row r="47" spans="1:8">
      <c r="A47">
        <v>605178</v>
      </c>
      <c r="B47">
        <v>64882.14</v>
      </c>
      <c r="C47">
        <v>3642</v>
      </c>
      <c r="D47">
        <v>87.8</v>
      </c>
      <c r="E47">
        <v>4.2</v>
      </c>
      <c r="F47" s="8">
        <v>0</v>
      </c>
      <c r="G47" s="8">
        <v>0</v>
      </c>
      <c r="H47" s="8">
        <v>1</v>
      </c>
    </row>
    <row r="48" spans="1:8">
      <c r="A48">
        <v>595467.6</v>
      </c>
      <c r="B48">
        <v>138855.51</v>
      </c>
      <c r="C48">
        <v>5145</v>
      </c>
      <c r="D48">
        <v>88.2</v>
      </c>
      <c r="E48">
        <v>3.2</v>
      </c>
      <c r="F48" s="8">
        <v>0</v>
      </c>
      <c r="G48" s="8">
        <v>0</v>
      </c>
      <c r="H48" s="8">
        <v>0</v>
      </c>
    </row>
    <row r="49" spans="1:8">
      <c r="A49">
        <v>599603.4</v>
      </c>
      <c r="B49">
        <v>63630.21</v>
      </c>
      <c r="C49">
        <v>4460</v>
      </c>
      <c r="D49">
        <v>98.6</v>
      </c>
      <c r="E49">
        <v>3.5</v>
      </c>
      <c r="F49" s="8">
        <v>0</v>
      </c>
      <c r="G49" s="8">
        <v>0</v>
      </c>
      <c r="H49" s="8">
        <v>0</v>
      </c>
    </row>
    <row r="50" spans="1:8">
      <c r="A50">
        <v>614800.09</v>
      </c>
      <c r="B50">
        <v>50043.65</v>
      </c>
      <c r="C50">
        <v>3804</v>
      </c>
      <c r="D50">
        <v>90.9</v>
      </c>
      <c r="E50">
        <v>3.2</v>
      </c>
      <c r="F50" s="8">
        <v>0</v>
      </c>
      <c r="G50" s="8">
        <v>0</v>
      </c>
      <c r="H50" s="8">
        <v>0</v>
      </c>
    </row>
    <row r="51" spans="1:8">
      <c r="A51">
        <v>585365.73</v>
      </c>
      <c r="B51">
        <v>42093.84</v>
      </c>
      <c r="C51">
        <v>4074</v>
      </c>
      <c r="D51">
        <v>88</v>
      </c>
      <c r="E51">
        <v>3.3</v>
      </c>
      <c r="F51" s="8">
        <v>0</v>
      </c>
      <c r="G51" s="8">
        <v>0</v>
      </c>
      <c r="H51" s="8">
        <v>0</v>
      </c>
    </row>
    <row r="52" spans="1:8">
      <c r="A52">
        <v>622811.74</v>
      </c>
      <c r="B52">
        <v>46624.05</v>
      </c>
      <c r="C52">
        <v>5104</v>
      </c>
      <c r="D52">
        <v>97.3</v>
      </c>
      <c r="E52">
        <v>4.7</v>
      </c>
      <c r="F52" s="8">
        <v>1</v>
      </c>
      <c r="G52" s="8">
        <v>0</v>
      </c>
      <c r="H52" s="8">
        <v>0</v>
      </c>
    </row>
    <row r="53" spans="1:8">
      <c r="A53">
        <v>603297.56999999995</v>
      </c>
      <c r="B53">
        <v>49710.29</v>
      </c>
      <c r="C53">
        <v>5559</v>
      </c>
      <c r="D53">
        <v>71</v>
      </c>
      <c r="E53">
        <v>4.5999999999999996</v>
      </c>
      <c r="F53" s="8">
        <v>1</v>
      </c>
      <c r="G53" s="8">
        <v>0</v>
      </c>
      <c r="H53" s="8">
        <v>0</v>
      </c>
    </row>
    <row r="54" spans="1:8">
      <c r="A54">
        <v>625672.86</v>
      </c>
      <c r="B54">
        <v>48287.85</v>
      </c>
      <c r="C54">
        <v>5150</v>
      </c>
      <c r="D54">
        <v>80.400000000000006</v>
      </c>
      <c r="E54">
        <v>4.5</v>
      </c>
      <c r="F54" s="8">
        <v>1</v>
      </c>
      <c r="G54" s="8">
        <v>0</v>
      </c>
      <c r="H54" s="8">
        <v>0</v>
      </c>
    </row>
    <row r="55" spans="1:8">
      <c r="A55">
        <v>773815.14</v>
      </c>
      <c r="B55">
        <v>65312.49</v>
      </c>
      <c r="C55">
        <v>7189</v>
      </c>
      <c r="D55">
        <v>93.7</v>
      </c>
      <c r="E55">
        <v>4.5999999999999996</v>
      </c>
      <c r="F55" s="8">
        <v>1</v>
      </c>
      <c r="G55" s="8">
        <v>0</v>
      </c>
      <c r="H55" s="8">
        <v>0</v>
      </c>
    </row>
    <row r="56" spans="1:8">
      <c r="A56">
        <v>463534.25</v>
      </c>
      <c r="B56">
        <v>53015.46</v>
      </c>
      <c r="C56">
        <v>3279</v>
      </c>
      <c r="D56">
        <v>84.3</v>
      </c>
      <c r="E56">
        <v>3.9</v>
      </c>
      <c r="F56" s="8">
        <v>0</v>
      </c>
      <c r="G56" s="8">
        <v>0</v>
      </c>
      <c r="H56" s="8">
        <v>0</v>
      </c>
    </row>
    <row r="57" spans="1:8">
      <c r="A57">
        <v>746677.75</v>
      </c>
      <c r="B57">
        <v>99874.01</v>
      </c>
      <c r="C57">
        <v>5887</v>
      </c>
      <c r="D57">
        <v>88.7</v>
      </c>
      <c r="E57">
        <v>4.7</v>
      </c>
      <c r="F57" s="8">
        <v>0</v>
      </c>
      <c r="G57" s="8">
        <v>0</v>
      </c>
      <c r="H57" s="8">
        <v>0</v>
      </c>
    </row>
    <row r="58" spans="1:8">
      <c r="A58">
        <v>720852.5</v>
      </c>
      <c r="B58">
        <v>81195.5</v>
      </c>
      <c r="C58">
        <v>5516</v>
      </c>
      <c r="D58">
        <v>88</v>
      </c>
      <c r="E58">
        <v>4.3</v>
      </c>
      <c r="F58" s="8">
        <v>0</v>
      </c>
      <c r="G58" s="8">
        <v>0</v>
      </c>
      <c r="H58" s="8">
        <v>0</v>
      </c>
    </row>
    <row r="59" spans="1:8">
      <c r="A59">
        <v>487464.91</v>
      </c>
      <c r="B59">
        <v>27808.6</v>
      </c>
      <c r="C59">
        <v>2863</v>
      </c>
      <c r="D59">
        <v>89.3</v>
      </c>
      <c r="E59">
        <v>4.0999999999999996</v>
      </c>
      <c r="F59" s="8">
        <v>0</v>
      </c>
      <c r="G59" s="8">
        <v>0</v>
      </c>
      <c r="H59" s="8">
        <v>0</v>
      </c>
    </row>
    <row r="60" spans="1:8">
      <c r="A60">
        <v>518049.26</v>
      </c>
      <c r="B60">
        <v>19365.060000000001</v>
      </c>
      <c r="C60">
        <v>2378</v>
      </c>
      <c r="D60">
        <v>94.8</v>
      </c>
      <c r="E60">
        <v>3.5</v>
      </c>
      <c r="F60" s="8">
        <v>0</v>
      </c>
      <c r="G60" s="8">
        <v>0</v>
      </c>
      <c r="H60" s="8">
        <v>1</v>
      </c>
    </row>
    <row r="61" spans="1:8">
      <c r="A61">
        <v>500298.48</v>
      </c>
      <c r="B61">
        <v>59405.68</v>
      </c>
      <c r="C61">
        <v>2515</v>
      </c>
      <c r="D61">
        <v>76</v>
      </c>
      <c r="E61">
        <v>3.7</v>
      </c>
      <c r="F61" s="8">
        <v>0</v>
      </c>
      <c r="G61" s="8">
        <v>0</v>
      </c>
      <c r="H61" s="8">
        <v>1</v>
      </c>
    </row>
    <row r="62" spans="1:8">
      <c r="A62">
        <v>617291.15</v>
      </c>
      <c r="B62">
        <v>118910.48</v>
      </c>
      <c r="C62">
        <v>4022</v>
      </c>
      <c r="D62">
        <v>87.1</v>
      </c>
      <c r="E62">
        <v>3.1</v>
      </c>
      <c r="F62" s="8">
        <v>0</v>
      </c>
      <c r="G62" s="8">
        <v>0</v>
      </c>
      <c r="H62" s="8">
        <v>1</v>
      </c>
    </row>
    <row r="63" spans="1:8">
      <c r="A63">
        <v>553756.43000000005</v>
      </c>
      <c r="B63">
        <v>52952.12</v>
      </c>
      <c r="C63">
        <v>4377</v>
      </c>
      <c r="D63">
        <v>88.6</v>
      </c>
      <c r="E63">
        <v>3.1</v>
      </c>
      <c r="F63" s="8">
        <v>0</v>
      </c>
      <c r="G63" s="8">
        <v>0</v>
      </c>
      <c r="H63" s="8">
        <v>1</v>
      </c>
    </row>
    <row r="64" spans="1:8">
      <c r="A64">
        <v>749559.71</v>
      </c>
      <c r="B64">
        <v>74907.98</v>
      </c>
      <c r="C64">
        <v>5306</v>
      </c>
      <c r="D64">
        <v>95.6</v>
      </c>
      <c r="E64">
        <v>3.7</v>
      </c>
      <c r="F64" s="8">
        <v>0</v>
      </c>
      <c r="G64" s="8">
        <v>1</v>
      </c>
      <c r="H64" s="8">
        <v>0</v>
      </c>
    </row>
    <row r="65" spans="1:8">
      <c r="A65">
        <v>615966.48</v>
      </c>
      <c r="B65">
        <v>37284.660000000003</v>
      </c>
      <c r="C65">
        <v>3928</v>
      </c>
      <c r="D65">
        <v>86.5</v>
      </c>
      <c r="E65">
        <v>3.8</v>
      </c>
      <c r="F65" s="8">
        <v>0</v>
      </c>
      <c r="G65" s="8">
        <v>1</v>
      </c>
      <c r="H65" s="8">
        <v>0</v>
      </c>
    </row>
    <row r="66" spans="1:8">
      <c r="A66">
        <v>572011.19999999995</v>
      </c>
      <c r="B66">
        <v>50343.19</v>
      </c>
      <c r="C66">
        <v>3845</v>
      </c>
      <c r="D66">
        <v>88.7</v>
      </c>
      <c r="E66">
        <v>3.3</v>
      </c>
      <c r="F66" s="8">
        <v>0</v>
      </c>
      <c r="G66" s="8">
        <v>1</v>
      </c>
      <c r="H66" s="8">
        <v>0</v>
      </c>
    </row>
    <row r="67" spans="1:8">
      <c r="A67">
        <v>761860.19</v>
      </c>
      <c r="B67">
        <v>74954.47</v>
      </c>
      <c r="C67">
        <v>6620</v>
      </c>
      <c r="D67">
        <v>91.1</v>
      </c>
      <c r="E67">
        <v>3.5</v>
      </c>
      <c r="F67" s="8">
        <v>0</v>
      </c>
      <c r="G67" s="8">
        <v>1</v>
      </c>
      <c r="H67" s="8">
        <v>0</v>
      </c>
    </row>
    <row r="68" spans="1:8">
      <c r="A68">
        <v>784502.68</v>
      </c>
      <c r="B68">
        <v>70040.31</v>
      </c>
      <c r="C68">
        <v>9175</v>
      </c>
      <c r="D68">
        <v>95.1</v>
      </c>
      <c r="E68">
        <v>3.4</v>
      </c>
      <c r="F68" s="8">
        <v>0</v>
      </c>
      <c r="G68" s="8">
        <v>0</v>
      </c>
      <c r="H68" s="8">
        <v>0</v>
      </c>
    </row>
    <row r="69" spans="1:8">
      <c r="A69">
        <v>717141.55</v>
      </c>
      <c r="B69">
        <v>51148.69</v>
      </c>
      <c r="C69">
        <v>7940</v>
      </c>
      <c r="D69">
        <v>93.3</v>
      </c>
      <c r="E69">
        <v>3.6</v>
      </c>
      <c r="F69" s="8">
        <v>0</v>
      </c>
      <c r="G69" s="8">
        <v>0</v>
      </c>
      <c r="H69" s="8">
        <v>0</v>
      </c>
    </row>
    <row r="70" spans="1:8">
      <c r="A70">
        <v>685379.08</v>
      </c>
      <c r="B70">
        <v>79346.100000000006</v>
      </c>
      <c r="C70">
        <v>9628</v>
      </c>
      <c r="D70">
        <v>99</v>
      </c>
      <c r="E70">
        <v>3.2</v>
      </c>
      <c r="F70" s="8">
        <v>0</v>
      </c>
      <c r="G70" s="8">
        <v>0</v>
      </c>
      <c r="H70" s="8">
        <v>0</v>
      </c>
    </row>
    <row r="71" spans="1:8">
      <c r="A71">
        <v>740496.65</v>
      </c>
      <c r="B71">
        <v>42018.400000000001</v>
      </c>
      <c r="C71">
        <v>8296</v>
      </c>
      <c r="D71">
        <v>91.8</v>
      </c>
      <c r="E71">
        <v>3.4</v>
      </c>
      <c r="F71" s="8">
        <v>0</v>
      </c>
      <c r="G71" s="8">
        <v>0</v>
      </c>
      <c r="H71" s="8">
        <v>0</v>
      </c>
    </row>
    <row r="72" spans="1:8">
      <c r="A72">
        <v>661927.14</v>
      </c>
      <c r="B72">
        <v>70937.240000000005</v>
      </c>
      <c r="C72">
        <v>3595</v>
      </c>
      <c r="D72">
        <v>88.9</v>
      </c>
      <c r="E72">
        <v>3.3</v>
      </c>
      <c r="F72" s="8">
        <v>0</v>
      </c>
      <c r="G72" s="8">
        <v>0</v>
      </c>
      <c r="H72" s="8">
        <v>1</v>
      </c>
    </row>
    <row r="73" spans="1:8">
      <c r="A73">
        <v>479050.5</v>
      </c>
      <c r="B73">
        <v>36813.449999999997</v>
      </c>
      <c r="C73">
        <v>2834</v>
      </c>
      <c r="D73">
        <v>81.8</v>
      </c>
      <c r="E73">
        <v>3.3</v>
      </c>
      <c r="F73" s="8">
        <v>0</v>
      </c>
      <c r="G73" s="8">
        <v>0</v>
      </c>
      <c r="H73" s="8">
        <v>1</v>
      </c>
    </row>
    <row r="74" spans="1:8">
      <c r="A74">
        <v>605023.87</v>
      </c>
      <c r="B74">
        <v>60571.82</v>
      </c>
      <c r="C74">
        <v>3193</v>
      </c>
      <c r="D74">
        <v>99</v>
      </c>
      <c r="E74">
        <v>3.2</v>
      </c>
      <c r="F74" s="8">
        <v>0</v>
      </c>
      <c r="G74" s="8">
        <v>0</v>
      </c>
      <c r="H74" s="8">
        <v>1</v>
      </c>
    </row>
    <row r="75" spans="1:8">
      <c r="A75">
        <v>674774.09</v>
      </c>
      <c r="B75">
        <v>55081.16</v>
      </c>
      <c r="C75">
        <v>5485</v>
      </c>
      <c r="D75">
        <v>88</v>
      </c>
      <c r="E75">
        <v>3.5</v>
      </c>
      <c r="F75" s="8">
        <v>0</v>
      </c>
      <c r="G75" s="8">
        <v>0</v>
      </c>
      <c r="H75" s="8">
        <v>1</v>
      </c>
    </row>
    <row r="76" spans="1:8">
      <c r="A76">
        <v>616069.41</v>
      </c>
      <c r="B76">
        <v>46201.46</v>
      </c>
      <c r="C76">
        <v>5918</v>
      </c>
      <c r="D76">
        <v>78.8</v>
      </c>
      <c r="E76">
        <v>4.5</v>
      </c>
      <c r="F76" s="8">
        <v>0</v>
      </c>
      <c r="G76" s="8">
        <v>0</v>
      </c>
      <c r="H76" s="8">
        <v>1</v>
      </c>
    </row>
    <row r="77" spans="1:8">
      <c r="A77">
        <v>630829.93999999994</v>
      </c>
      <c r="B77">
        <v>53762.92</v>
      </c>
      <c r="C77">
        <v>6821</v>
      </c>
      <c r="D77">
        <v>94.6</v>
      </c>
      <c r="E77">
        <v>4.4000000000000004</v>
      </c>
      <c r="F77" s="8">
        <v>0</v>
      </c>
      <c r="G77" s="8">
        <v>0</v>
      </c>
      <c r="H77" s="8">
        <v>1</v>
      </c>
    </row>
    <row r="78" spans="1:8">
      <c r="A78">
        <v>788087.68</v>
      </c>
      <c r="B78">
        <v>70144.78</v>
      </c>
      <c r="C78">
        <v>6806</v>
      </c>
      <c r="D78">
        <v>93.1</v>
      </c>
      <c r="E78">
        <v>4.3</v>
      </c>
      <c r="F78" s="8">
        <v>0</v>
      </c>
      <c r="G78" s="8">
        <v>0</v>
      </c>
      <c r="H78" s="8">
        <v>1</v>
      </c>
    </row>
    <row r="79" spans="1:8">
      <c r="A79">
        <v>680840.36</v>
      </c>
      <c r="B79">
        <v>58749.63</v>
      </c>
      <c r="C79">
        <v>8252</v>
      </c>
      <c r="D79">
        <v>85.2</v>
      </c>
      <c r="E79">
        <v>4.5</v>
      </c>
      <c r="F79" s="8">
        <v>0</v>
      </c>
      <c r="G79" s="8">
        <v>0</v>
      </c>
      <c r="H79" s="8">
        <v>1</v>
      </c>
    </row>
    <row r="80" spans="1:8">
      <c r="A80">
        <v>643657.47</v>
      </c>
      <c r="B80">
        <v>56973.18</v>
      </c>
      <c r="C80">
        <v>6662</v>
      </c>
      <c r="D80">
        <v>77.7</v>
      </c>
      <c r="E80">
        <v>3.2</v>
      </c>
      <c r="F80" s="8">
        <v>0</v>
      </c>
      <c r="G80" s="8">
        <v>1</v>
      </c>
      <c r="H80" s="8">
        <v>0</v>
      </c>
    </row>
    <row r="81" spans="1:8">
      <c r="A81">
        <v>691112.6</v>
      </c>
      <c r="B81">
        <v>54872.82</v>
      </c>
      <c r="C81">
        <v>5962</v>
      </c>
      <c r="D81">
        <v>85.4</v>
      </c>
      <c r="E81">
        <v>2.9</v>
      </c>
      <c r="F81" s="8">
        <v>0</v>
      </c>
      <c r="G81" s="8">
        <v>1</v>
      </c>
      <c r="H81" s="8">
        <v>0</v>
      </c>
    </row>
    <row r="82" spans="1:8">
      <c r="A82">
        <v>776922.17</v>
      </c>
      <c r="B82">
        <v>80562.81</v>
      </c>
      <c r="C82">
        <v>7470</v>
      </c>
      <c r="D82">
        <v>83.5</v>
      </c>
      <c r="E82">
        <v>3.3</v>
      </c>
      <c r="F82" s="8">
        <v>0</v>
      </c>
      <c r="G82" s="8">
        <v>1</v>
      </c>
      <c r="H82" s="8">
        <v>0</v>
      </c>
    </row>
    <row r="83" spans="1:8">
      <c r="A83">
        <v>636561.34</v>
      </c>
      <c r="B83">
        <v>77999.899999999994</v>
      </c>
      <c r="C83">
        <v>5974</v>
      </c>
      <c r="D83">
        <v>81.3</v>
      </c>
      <c r="E83">
        <v>3.2</v>
      </c>
      <c r="F83" s="8">
        <v>0</v>
      </c>
      <c r="G83" s="8">
        <v>1</v>
      </c>
      <c r="H83" s="8">
        <v>0</v>
      </c>
    </row>
    <row r="84" spans="1:8">
      <c r="A84">
        <v>621369.57999999996</v>
      </c>
      <c r="B84">
        <v>60881.01</v>
      </c>
      <c r="C84">
        <v>5410</v>
      </c>
      <c r="D84">
        <v>83.9</v>
      </c>
      <c r="E84">
        <v>4.5999999999999996</v>
      </c>
      <c r="F84" s="8">
        <v>0</v>
      </c>
      <c r="G84" s="8">
        <v>0</v>
      </c>
      <c r="H84" s="8">
        <v>0</v>
      </c>
    </row>
    <row r="85" spans="1:8">
      <c r="A85">
        <v>682208.01</v>
      </c>
      <c r="B85">
        <v>60628.38</v>
      </c>
      <c r="C85">
        <v>4451</v>
      </c>
      <c r="D85">
        <v>89.6</v>
      </c>
      <c r="E85">
        <v>4.5999999999999996</v>
      </c>
      <c r="F85" s="8">
        <v>0</v>
      </c>
      <c r="G85" s="8">
        <v>0</v>
      </c>
      <c r="H85" s="8">
        <v>0</v>
      </c>
    </row>
    <row r="86" spans="1:8">
      <c r="A86">
        <v>727241.86</v>
      </c>
      <c r="B86">
        <v>72731.14</v>
      </c>
      <c r="C86">
        <v>4644</v>
      </c>
      <c r="D86">
        <v>87.1</v>
      </c>
      <c r="E86">
        <v>4.5999999999999996</v>
      </c>
      <c r="F86" s="8">
        <v>0</v>
      </c>
      <c r="G86" s="8">
        <v>0</v>
      </c>
      <c r="H86" s="8">
        <v>0</v>
      </c>
    </row>
    <row r="87" spans="1:8">
      <c r="A87">
        <v>569100.78</v>
      </c>
      <c r="B87">
        <v>36475.71</v>
      </c>
      <c r="C87">
        <v>3559</v>
      </c>
      <c r="D87">
        <v>83.6</v>
      </c>
      <c r="E87">
        <v>4.2</v>
      </c>
      <c r="F87" s="8">
        <v>0</v>
      </c>
      <c r="G87" s="8">
        <v>0</v>
      </c>
      <c r="H87" s="8">
        <v>0</v>
      </c>
    </row>
    <row r="88" spans="1:8">
      <c r="A88">
        <v>574436.29</v>
      </c>
      <c r="B88">
        <v>55388.11</v>
      </c>
      <c r="C88">
        <v>3091</v>
      </c>
      <c r="D88">
        <v>85.4</v>
      </c>
      <c r="E88">
        <v>4.9000000000000004</v>
      </c>
      <c r="F88" s="8">
        <v>0</v>
      </c>
      <c r="G88" s="8">
        <v>0</v>
      </c>
      <c r="H88" s="8">
        <v>0</v>
      </c>
    </row>
    <row r="89" spans="1:8">
      <c r="A89">
        <v>611766.72</v>
      </c>
      <c r="B89">
        <v>88443.77</v>
      </c>
      <c r="C89">
        <v>4004</v>
      </c>
      <c r="D89">
        <v>91.9</v>
      </c>
      <c r="E89">
        <v>3.92</v>
      </c>
      <c r="F89" s="8">
        <v>0</v>
      </c>
      <c r="G89" s="8">
        <v>0</v>
      </c>
      <c r="H89" s="8">
        <v>0</v>
      </c>
    </row>
    <row r="90" spans="1:8">
      <c r="A90">
        <v>614596.31999999995</v>
      </c>
      <c r="B90">
        <v>78231.91</v>
      </c>
      <c r="C90">
        <v>3788</v>
      </c>
      <c r="D90">
        <v>88.5</v>
      </c>
      <c r="E90">
        <v>4.3</v>
      </c>
      <c r="F90" s="8">
        <v>0</v>
      </c>
      <c r="G90" s="8">
        <v>0</v>
      </c>
      <c r="H90" s="8">
        <v>0</v>
      </c>
    </row>
    <row r="91" spans="1:8">
      <c r="A91">
        <v>450711.92</v>
      </c>
      <c r="B91">
        <v>18996.32</v>
      </c>
      <c r="C91">
        <v>1260</v>
      </c>
      <c r="D91">
        <v>86.4</v>
      </c>
      <c r="E91">
        <v>4.5999999999999996</v>
      </c>
      <c r="F91" s="8">
        <v>0</v>
      </c>
      <c r="G91" s="8">
        <v>0</v>
      </c>
      <c r="H91" s="8">
        <v>0</v>
      </c>
    </row>
    <row r="92" spans="1:8">
      <c r="A92">
        <v>711213.46</v>
      </c>
      <c r="B92">
        <v>50517.94</v>
      </c>
      <c r="C92">
        <v>7024</v>
      </c>
      <c r="D92">
        <v>79.2</v>
      </c>
      <c r="E92">
        <v>4.0999999999999996</v>
      </c>
      <c r="F92" s="8">
        <v>0</v>
      </c>
      <c r="G92" s="8">
        <v>1</v>
      </c>
      <c r="H92" s="8">
        <v>0</v>
      </c>
    </row>
    <row r="93" spans="1:8">
      <c r="A93">
        <v>627171.9</v>
      </c>
      <c r="B93">
        <v>141540.29</v>
      </c>
      <c r="C93">
        <v>5400</v>
      </c>
      <c r="D93">
        <v>87</v>
      </c>
      <c r="E93">
        <v>4.5</v>
      </c>
      <c r="F93" s="8">
        <v>0</v>
      </c>
      <c r="G93" s="8">
        <v>1</v>
      </c>
      <c r="H93" s="8">
        <v>0</v>
      </c>
    </row>
    <row r="94" spans="1:8">
      <c r="A94">
        <v>739852.58</v>
      </c>
      <c r="B94">
        <v>82116.19</v>
      </c>
      <c r="C94">
        <v>5988</v>
      </c>
      <c r="D94">
        <v>91.8</v>
      </c>
      <c r="E94">
        <v>4.7</v>
      </c>
      <c r="F94" s="8">
        <v>0</v>
      </c>
      <c r="G94" s="8">
        <v>1</v>
      </c>
      <c r="H94" s="8">
        <v>0</v>
      </c>
    </row>
    <row r="95" spans="1:8">
      <c r="A95">
        <v>586307.22</v>
      </c>
      <c r="B95">
        <v>31207.51</v>
      </c>
      <c r="C95">
        <v>3701</v>
      </c>
      <c r="D95">
        <v>84.7</v>
      </c>
      <c r="E95">
        <v>4.3</v>
      </c>
      <c r="F95" s="8">
        <v>0</v>
      </c>
      <c r="G95" s="8">
        <v>1</v>
      </c>
      <c r="H95" s="8">
        <v>0</v>
      </c>
    </row>
    <row r="96" spans="1:8">
      <c r="A96">
        <v>585937.48</v>
      </c>
      <c r="B96">
        <v>38966.589999999997</v>
      </c>
      <c r="C96">
        <v>4509</v>
      </c>
      <c r="D96">
        <v>91.1</v>
      </c>
      <c r="E96">
        <v>4.5999999999999996</v>
      </c>
      <c r="F96" s="8">
        <v>0</v>
      </c>
      <c r="G96" s="8">
        <v>0</v>
      </c>
      <c r="H96" s="8">
        <v>0</v>
      </c>
    </row>
    <row r="97" spans="1:8">
      <c r="A97">
        <v>753473.55</v>
      </c>
      <c r="B97">
        <v>67439.3</v>
      </c>
      <c r="C97">
        <v>6477</v>
      </c>
      <c r="D97">
        <v>90.9</v>
      </c>
      <c r="E97">
        <v>4.5</v>
      </c>
      <c r="F97" s="8">
        <v>0</v>
      </c>
      <c r="G97" s="8">
        <v>0</v>
      </c>
      <c r="H97" s="8">
        <v>0</v>
      </c>
    </row>
    <row r="98" spans="1:8">
      <c r="A98">
        <v>838250.32</v>
      </c>
      <c r="B98">
        <v>86421.88</v>
      </c>
      <c r="C98">
        <v>7970</v>
      </c>
      <c r="D98">
        <v>91.3</v>
      </c>
      <c r="E98">
        <v>5</v>
      </c>
      <c r="F98" s="8">
        <v>0</v>
      </c>
      <c r="G98" s="8">
        <v>0</v>
      </c>
      <c r="H98" s="8">
        <v>0</v>
      </c>
    </row>
    <row r="99" spans="1:8">
      <c r="A99">
        <v>607898.12</v>
      </c>
      <c r="B99">
        <v>9534.65</v>
      </c>
      <c r="C99">
        <v>6057</v>
      </c>
      <c r="D99">
        <v>94.1</v>
      </c>
      <c r="E99">
        <v>4.5</v>
      </c>
      <c r="F99" s="8">
        <v>0</v>
      </c>
      <c r="G99" s="8">
        <v>0</v>
      </c>
      <c r="H99" s="8">
        <v>0</v>
      </c>
    </row>
    <row r="100" spans="1:8">
      <c r="A100">
        <v>691113.62</v>
      </c>
      <c r="B100">
        <v>61132.07</v>
      </c>
      <c r="C100">
        <v>6394</v>
      </c>
      <c r="D100">
        <v>91</v>
      </c>
      <c r="E100">
        <v>4.4000000000000004</v>
      </c>
      <c r="F100" s="8">
        <v>0</v>
      </c>
      <c r="G100" s="8">
        <v>0</v>
      </c>
      <c r="H100" s="8">
        <v>0</v>
      </c>
    </row>
    <row r="101" spans="1:8">
      <c r="A101">
        <v>735509.4</v>
      </c>
      <c r="B101">
        <v>78839.39</v>
      </c>
      <c r="C101">
        <v>5150</v>
      </c>
      <c r="D101">
        <v>85.8</v>
      </c>
      <c r="E101">
        <v>4.3</v>
      </c>
      <c r="F101" s="8">
        <v>0</v>
      </c>
      <c r="G101" s="8">
        <v>0</v>
      </c>
      <c r="H101" s="8">
        <v>0</v>
      </c>
    </row>
    <row r="102" spans="1:8">
      <c r="A102">
        <v>605775.32999999996</v>
      </c>
      <c r="B102">
        <v>38752.800000000003</v>
      </c>
      <c r="C102">
        <v>4712</v>
      </c>
      <c r="D102">
        <v>89.7</v>
      </c>
      <c r="E102">
        <v>4.3</v>
      </c>
      <c r="F102" s="8">
        <v>0</v>
      </c>
      <c r="G102" s="8">
        <v>0</v>
      </c>
      <c r="H102" s="8">
        <v>0</v>
      </c>
    </row>
    <row r="103" spans="1:8">
      <c r="A103">
        <v>675177.68</v>
      </c>
      <c r="B103">
        <v>55101.1</v>
      </c>
      <c r="C103">
        <v>5281</v>
      </c>
      <c r="D103">
        <v>91</v>
      </c>
      <c r="E103">
        <v>4.4000000000000004</v>
      </c>
      <c r="F103" s="8">
        <v>0</v>
      </c>
      <c r="G103" s="8">
        <v>0</v>
      </c>
      <c r="H103" s="8">
        <v>0</v>
      </c>
    </row>
    <row r="104" spans="1:8">
      <c r="A104">
        <v>635181.35</v>
      </c>
      <c r="B104">
        <v>53084.76</v>
      </c>
      <c r="C104">
        <v>3642</v>
      </c>
      <c r="D104">
        <v>91.4</v>
      </c>
      <c r="E104">
        <v>4.4000000000000004</v>
      </c>
      <c r="F104" s="8">
        <v>0</v>
      </c>
      <c r="G104" s="8">
        <v>0</v>
      </c>
      <c r="H104" s="8">
        <v>1</v>
      </c>
    </row>
    <row r="105" spans="1:8">
      <c r="A105">
        <v>586626.93999999994</v>
      </c>
      <c r="B105">
        <v>63101.59</v>
      </c>
      <c r="C105">
        <v>4373</v>
      </c>
      <c r="D105">
        <v>90.4</v>
      </c>
      <c r="E105">
        <v>4.7</v>
      </c>
      <c r="F105" s="8">
        <v>0</v>
      </c>
      <c r="G105" s="8">
        <v>0</v>
      </c>
      <c r="H105" s="8">
        <v>1</v>
      </c>
    </row>
    <row r="106" spans="1:8">
      <c r="A106">
        <v>740102.64</v>
      </c>
      <c r="B106">
        <v>90084.4</v>
      </c>
      <c r="C106">
        <v>6832</v>
      </c>
      <c r="D106">
        <v>80.5</v>
      </c>
      <c r="E106">
        <v>4.4000000000000004</v>
      </c>
      <c r="F106" s="8">
        <v>0</v>
      </c>
      <c r="G106" s="8">
        <v>0</v>
      </c>
      <c r="H106" s="8">
        <v>1</v>
      </c>
    </row>
    <row r="107" spans="1:8">
      <c r="A107">
        <v>625514.04</v>
      </c>
      <c r="B107">
        <v>32266.639999999999</v>
      </c>
      <c r="C107">
        <v>2414</v>
      </c>
      <c r="D107">
        <v>92.1</v>
      </c>
      <c r="E107">
        <v>5</v>
      </c>
      <c r="F107" s="8">
        <v>0</v>
      </c>
      <c r="G107" s="8">
        <v>0</v>
      </c>
      <c r="H107" s="8">
        <v>1</v>
      </c>
    </row>
    <row r="108" spans="1:8">
      <c r="A108">
        <v>727227.2</v>
      </c>
      <c r="B108">
        <v>57919.07</v>
      </c>
      <c r="C108">
        <v>7374</v>
      </c>
      <c r="D108">
        <v>82.3</v>
      </c>
      <c r="E108">
        <v>2.9</v>
      </c>
      <c r="F108" s="8">
        <v>0</v>
      </c>
      <c r="G108" s="8">
        <v>0</v>
      </c>
      <c r="H108" s="8">
        <v>0</v>
      </c>
    </row>
    <row r="109" spans="1:8">
      <c r="A109">
        <v>783797.89</v>
      </c>
      <c r="B109">
        <v>74679.350000000006</v>
      </c>
      <c r="C109">
        <v>8739</v>
      </c>
      <c r="D109">
        <v>91.8</v>
      </c>
      <c r="E109">
        <v>3</v>
      </c>
      <c r="F109" s="8">
        <v>0</v>
      </c>
      <c r="G109" s="8">
        <v>0</v>
      </c>
      <c r="H109" s="8">
        <v>0</v>
      </c>
    </row>
    <row r="110" spans="1:8">
      <c r="A110">
        <v>795153.84</v>
      </c>
      <c r="B110">
        <v>64294.23</v>
      </c>
      <c r="C110">
        <v>6992</v>
      </c>
      <c r="D110">
        <v>94.1</v>
      </c>
      <c r="E110">
        <v>3</v>
      </c>
      <c r="F110" s="8">
        <v>0</v>
      </c>
      <c r="G110" s="8">
        <v>0</v>
      </c>
      <c r="H110" s="8">
        <v>0</v>
      </c>
    </row>
    <row r="111" spans="1:8">
      <c r="A111">
        <v>665594.93999999994</v>
      </c>
      <c r="B111">
        <v>31042.03</v>
      </c>
      <c r="C111">
        <v>7107</v>
      </c>
      <c r="D111">
        <v>87</v>
      </c>
      <c r="E111">
        <v>3.2</v>
      </c>
      <c r="F111" s="8">
        <v>0</v>
      </c>
      <c r="G111" s="8">
        <v>0</v>
      </c>
      <c r="H111" s="8">
        <v>0</v>
      </c>
    </row>
    <row r="112" spans="1:8">
      <c r="A112">
        <v>709478.39</v>
      </c>
      <c r="B112">
        <v>75265.02</v>
      </c>
      <c r="C112">
        <v>6975</v>
      </c>
      <c r="D112">
        <v>73.8</v>
      </c>
      <c r="E112">
        <v>3.8</v>
      </c>
      <c r="F112" s="8">
        <v>0</v>
      </c>
      <c r="G112" s="8">
        <v>0</v>
      </c>
      <c r="H112" s="8">
        <v>1</v>
      </c>
    </row>
    <row r="113" spans="1:8">
      <c r="A113">
        <v>664162.49</v>
      </c>
      <c r="B113">
        <v>69411.7</v>
      </c>
      <c r="C113">
        <v>5493</v>
      </c>
      <c r="D113">
        <v>86.5</v>
      </c>
      <c r="E113">
        <v>3.8</v>
      </c>
      <c r="F113" s="8">
        <v>0</v>
      </c>
      <c r="G113" s="8">
        <v>0</v>
      </c>
      <c r="H113" s="8">
        <v>1</v>
      </c>
    </row>
    <row r="114" spans="1:8">
      <c r="A114">
        <v>633494.21</v>
      </c>
      <c r="B114">
        <v>51056.15</v>
      </c>
      <c r="C114">
        <v>5686</v>
      </c>
      <c r="D114">
        <v>89.9</v>
      </c>
      <c r="E114">
        <v>4.2</v>
      </c>
      <c r="F114" s="8">
        <v>0</v>
      </c>
      <c r="G114" s="8">
        <v>0</v>
      </c>
      <c r="H114" s="8">
        <v>1</v>
      </c>
    </row>
    <row r="115" spans="1:8">
      <c r="A115">
        <v>713611.16</v>
      </c>
      <c r="B115">
        <v>52758.01</v>
      </c>
      <c r="C115">
        <v>4063</v>
      </c>
      <c r="D115">
        <v>91.7</v>
      </c>
      <c r="E115">
        <v>3.5</v>
      </c>
      <c r="F115" s="8">
        <v>0</v>
      </c>
      <c r="G115" s="8">
        <v>0</v>
      </c>
      <c r="H115" s="8">
        <v>1</v>
      </c>
    </row>
    <row r="116" spans="1:8">
      <c r="A116">
        <v>778397.97</v>
      </c>
      <c r="B116">
        <v>61426.04</v>
      </c>
      <c r="C116">
        <v>8966</v>
      </c>
      <c r="D116">
        <v>76.400000000000006</v>
      </c>
      <c r="E116">
        <v>3.1</v>
      </c>
      <c r="F116" s="8">
        <v>0</v>
      </c>
      <c r="G116" s="8">
        <v>0</v>
      </c>
      <c r="H116" s="8">
        <v>0</v>
      </c>
    </row>
    <row r="117" spans="1:8">
      <c r="A117">
        <v>873380.02</v>
      </c>
      <c r="B117">
        <v>80176.34</v>
      </c>
      <c r="C117">
        <v>9489</v>
      </c>
      <c r="D117">
        <v>94.3</v>
      </c>
      <c r="E117">
        <v>3.5</v>
      </c>
      <c r="F117" s="8">
        <v>0</v>
      </c>
      <c r="G117" s="8">
        <v>0</v>
      </c>
      <c r="H117" s="8">
        <v>0</v>
      </c>
    </row>
    <row r="118" spans="1:8">
      <c r="A118">
        <v>697287.9</v>
      </c>
      <c r="B118">
        <v>33605.18</v>
      </c>
      <c r="C118">
        <v>9225</v>
      </c>
      <c r="D118">
        <v>88.4</v>
      </c>
      <c r="E118">
        <v>2.8</v>
      </c>
      <c r="F118" s="8">
        <v>0</v>
      </c>
      <c r="G118" s="8">
        <v>0</v>
      </c>
      <c r="H118" s="8">
        <v>0</v>
      </c>
    </row>
    <row r="119" spans="1:8">
      <c r="A119">
        <v>718074.79</v>
      </c>
      <c r="B119">
        <v>25990.54</v>
      </c>
      <c r="C119">
        <v>9249</v>
      </c>
      <c r="D119">
        <v>92.5</v>
      </c>
      <c r="E119">
        <v>3.3</v>
      </c>
      <c r="F119" s="8">
        <v>0</v>
      </c>
      <c r="G119" s="8">
        <v>0</v>
      </c>
      <c r="H119" s="8">
        <v>0</v>
      </c>
    </row>
    <row r="120" spans="1:8">
      <c r="A120">
        <v>714942.43</v>
      </c>
      <c r="B120">
        <v>43685.14</v>
      </c>
      <c r="C120">
        <v>7821</v>
      </c>
      <c r="D120">
        <v>91</v>
      </c>
      <c r="E120">
        <v>4.7</v>
      </c>
      <c r="F120" s="8">
        <v>0</v>
      </c>
      <c r="G120" s="8">
        <v>0</v>
      </c>
      <c r="H120" s="8">
        <v>0</v>
      </c>
    </row>
    <row r="121" spans="1:8">
      <c r="A121">
        <v>820519.04</v>
      </c>
      <c r="B121">
        <v>57360.01</v>
      </c>
      <c r="C121">
        <v>8434</v>
      </c>
      <c r="D121">
        <v>84.1</v>
      </c>
      <c r="E121">
        <v>4.7</v>
      </c>
      <c r="F121" s="8">
        <v>0</v>
      </c>
      <c r="G121" s="8">
        <v>0</v>
      </c>
      <c r="H121" s="8">
        <v>0</v>
      </c>
    </row>
    <row r="122" spans="1:8">
      <c r="A122">
        <v>684217.32</v>
      </c>
      <c r="B122">
        <v>42415.47</v>
      </c>
      <c r="C122">
        <v>8512</v>
      </c>
      <c r="D122">
        <v>96.8</v>
      </c>
      <c r="E122">
        <v>4.5999999999999996</v>
      </c>
      <c r="F122" s="8">
        <v>0</v>
      </c>
      <c r="G122" s="8">
        <v>0</v>
      </c>
      <c r="H122" s="8">
        <v>0</v>
      </c>
    </row>
    <row r="123" spans="1:8">
      <c r="A123">
        <v>735480.19</v>
      </c>
      <c r="B123">
        <v>54968.98</v>
      </c>
      <c r="C123">
        <v>7816</v>
      </c>
      <c r="D123">
        <v>95.7</v>
      </c>
      <c r="E123">
        <v>4.7</v>
      </c>
      <c r="F123" s="8">
        <v>0</v>
      </c>
      <c r="G123" s="8">
        <v>0</v>
      </c>
      <c r="H123" s="8">
        <v>0</v>
      </c>
    </row>
    <row r="124" spans="1:8">
      <c r="A124">
        <v>509484.81</v>
      </c>
      <c r="B124">
        <v>43896.13</v>
      </c>
      <c r="C124">
        <v>3853</v>
      </c>
      <c r="D124">
        <v>83</v>
      </c>
      <c r="E124">
        <v>4.4000000000000004</v>
      </c>
      <c r="F124" s="8">
        <v>1</v>
      </c>
      <c r="G124" s="8">
        <v>0</v>
      </c>
      <c r="H124" s="8">
        <v>0</v>
      </c>
    </row>
    <row r="125" spans="1:8">
      <c r="A125">
        <v>654317.09</v>
      </c>
      <c r="B125">
        <v>83044.17</v>
      </c>
      <c r="C125">
        <v>3694</v>
      </c>
      <c r="D125">
        <v>89.4</v>
      </c>
      <c r="E125">
        <v>3.7</v>
      </c>
      <c r="F125" s="8">
        <v>1</v>
      </c>
      <c r="G125" s="8">
        <v>0</v>
      </c>
      <c r="H125" s="8">
        <v>0</v>
      </c>
    </row>
    <row r="126" spans="1:8">
      <c r="A126">
        <v>557487.26</v>
      </c>
      <c r="B126">
        <v>48396.13</v>
      </c>
      <c r="C126">
        <v>4423</v>
      </c>
      <c r="D126">
        <v>85.7</v>
      </c>
      <c r="E126">
        <v>3.9</v>
      </c>
      <c r="F126" s="8">
        <v>1</v>
      </c>
      <c r="G126" s="8">
        <v>0</v>
      </c>
      <c r="H126" s="8">
        <v>0</v>
      </c>
    </row>
    <row r="127" spans="1:8">
      <c r="A127">
        <v>441275.42</v>
      </c>
      <c r="B127">
        <v>19063.48</v>
      </c>
      <c r="C127">
        <v>1906</v>
      </c>
      <c r="D127">
        <v>97.8</v>
      </c>
      <c r="E127">
        <v>4.4000000000000004</v>
      </c>
      <c r="F127" s="8">
        <v>1</v>
      </c>
      <c r="G127" s="8">
        <v>0</v>
      </c>
      <c r="H127" s="8">
        <v>0</v>
      </c>
    </row>
    <row r="128" spans="1:8">
      <c r="A128">
        <v>914544.17</v>
      </c>
      <c r="B128">
        <v>61541.21</v>
      </c>
      <c r="C128">
        <v>10396</v>
      </c>
      <c r="D128">
        <v>88.1</v>
      </c>
      <c r="E128">
        <v>4.8</v>
      </c>
      <c r="F128" s="8">
        <v>0</v>
      </c>
      <c r="G128" s="8">
        <v>1</v>
      </c>
      <c r="H128" s="8">
        <v>0</v>
      </c>
    </row>
    <row r="129" spans="1:8">
      <c r="A129">
        <v>842439.67</v>
      </c>
      <c r="B129">
        <v>44747</v>
      </c>
      <c r="C129">
        <v>11076</v>
      </c>
      <c r="D129">
        <v>98.3</v>
      </c>
      <c r="E129">
        <v>4.4000000000000004</v>
      </c>
      <c r="F129" s="8">
        <v>0</v>
      </c>
      <c r="G129" s="8">
        <v>1</v>
      </c>
      <c r="H129" s="8">
        <v>0</v>
      </c>
    </row>
    <row r="130" spans="1:8">
      <c r="A130">
        <v>842157.92</v>
      </c>
      <c r="B130">
        <v>56517.9</v>
      </c>
      <c r="C130">
        <v>9574</v>
      </c>
      <c r="D130">
        <v>88.2</v>
      </c>
      <c r="E130">
        <v>4.9000000000000004</v>
      </c>
      <c r="F130" s="8">
        <v>0</v>
      </c>
      <c r="G130" s="8">
        <v>1</v>
      </c>
      <c r="H130" s="8">
        <v>0</v>
      </c>
    </row>
    <row r="131" spans="1:8">
      <c r="A131">
        <v>697155.3</v>
      </c>
      <c r="B131">
        <v>37828.5</v>
      </c>
      <c r="C131">
        <v>8221</v>
      </c>
      <c r="D131">
        <v>81.5</v>
      </c>
      <c r="E131">
        <v>4.8</v>
      </c>
      <c r="F131" s="8">
        <v>0</v>
      </c>
      <c r="G131" s="8">
        <v>1</v>
      </c>
      <c r="H131" s="8">
        <v>0</v>
      </c>
    </row>
    <row r="132" spans="1:8">
      <c r="A132">
        <v>849018.3</v>
      </c>
      <c r="B132">
        <v>66250.53</v>
      </c>
      <c r="C132">
        <v>10618</v>
      </c>
      <c r="D132">
        <v>88.3</v>
      </c>
      <c r="E132">
        <v>4.4000000000000004</v>
      </c>
      <c r="F132" s="8">
        <v>0</v>
      </c>
      <c r="G132" s="8">
        <v>0</v>
      </c>
      <c r="H132" s="8">
        <v>1</v>
      </c>
    </row>
    <row r="133" spans="1:8">
      <c r="A133">
        <v>801830.35</v>
      </c>
      <c r="B133">
        <v>68410.929999999993</v>
      </c>
      <c r="C133">
        <v>10596</v>
      </c>
      <c r="D133">
        <v>81.2</v>
      </c>
      <c r="E133">
        <v>4</v>
      </c>
      <c r="F133" s="8">
        <v>0</v>
      </c>
      <c r="G133" s="8">
        <v>0</v>
      </c>
      <c r="H133" s="8">
        <v>1</v>
      </c>
    </row>
    <row r="134" spans="1:8">
      <c r="A134">
        <v>725235.28</v>
      </c>
      <c r="B134">
        <v>50735.63</v>
      </c>
      <c r="C134">
        <v>9619</v>
      </c>
      <c r="D134">
        <v>93.8</v>
      </c>
      <c r="E134">
        <v>4.5</v>
      </c>
      <c r="F134" s="8">
        <v>0</v>
      </c>
      <c r="G134" s="8">
        <v>0</v>
      </c>
      <c r="H134" s="8">
        <v>1</v>
      </c>
    </row>
    <row r="135" spans="1:8">
      <c r="A135">
        <v>811452.72</v>
      </c>
      <c r="B135">
        <v>66455.8</v>
      </c>
      <c r="C135">
        <v>10836</v>
      </c>
      <c r="D135">
        <v>85</v>
      </c>
      <c r="E135">
        <v>4.5</v>
      </c>
      <c r="F135" s="8">
        <v>0</v>
      </c>
      <c r="G135" s="8">
        <v>0</v>
      </c>
      <c r="H135" s="8">
        <v>1</v>
      </c>
    </row>
    <row r="136" spans="1:8">
      <c r="A136">
        <v>527300.13</v>
      </c>
      <c r="B136">
        <v>70276.28</v>
      </c>
      <c r="C136">
        <v>3043</v>
      </c>
      <c r="D136">
        <v>87.9</v>
      </c>
      <c r="E136">
        <v>4.4000000000000004</v>
      </c>
      <c r="F136" s="8">
        <v>1</v>
      </c>
      <c r="G136" s="8">
        <v>0</v>
      </c>
      <c r="H136" s="8">
        <v>0</v>
      </c>
    </row>
    <row r="137" spans="1:8">
      <c r="A137">
        <v>400831.65</v>
      </c>
      <c r="B137">
        <v>22071.64</v>
      </c>
      <c r="C137">
        <v>1814</v>
      </c>
      <c r="D137">
        <v>81.099999999999994</v>
      </c>
      <c r="E137">
        <v>3.92</v>
      </c>
      <c r="F137" s="8">
        <v>1</v>
      </c>
      <c r="G137" s="8">
        <v>0</v>
      </c>
      <c r="H137" s="8">
        <v>0</v>
      </c>
    </row>
    <row r="138" spans="1:8">
      <c r="A138">
        <v>593247.25</v>
      </c>
      <c r="B138">
        <v>52285.45</v>
      </c>
      <c r="C138">
        <v>3618</v>
      </c>
      <c r="D138">
        <v>95.6</v>
      </c>
      <c r="E138">
        <v>4.4000000000000004</v>
      </c>
      <c r="F138" s="8">
        <v>1</v>
      </c>
      <c r="G138" s="8">
        <v>0</v>
      </c>
      <c r="H138" s="8">
        <v>0</v>
      </c>
    </row>
    <row r="139" spans="1:8">
      <c r="A139">
        <v>529075.94999999995</v>
      </c>
      <c r="B139">
        <v>70366.759999999995</v>
      </c>
      <c r="C139">
        <v>1963</v>
      </c>
      <c r="D139">
        <v>89.8</v>
      </c>
      <c r="E139">
        <v>4.5999999999999996</v>
      </c>
      <c r="F139" s="8">
        <v>1</v>
      </c>
      <c r="G139" s="8">
        <v>0</v>
      </c>
      <c r="H139" s="8">
        <v>0</v>
      </c>
    </row>
    <row r="140" spans="1:8">
      <c r="A140">
        <v>633638.03</v>
      </c>
      <c r="B140">
        <v>71320.66</v>
      </c>
      <c r="C140">
        <v>7888</v>
      </c>
      <c r="D140">
        <v>78.099999999999994</v>
      </c>
      <c r="E140">
        <v>3.92</v>
      </c>
      <c r="F140" s="8">
        <v>0</v>
      </c>
      <c r="G140" s="8">
        <v>1</v>
      </c>
      <c r="H140" s="8">
        <v>0</v>
      </c>
    </row>
    <row r="141" spans="1:8">
      <c r="A141">
        <v>743348.84</v>
      </c>
      <c r="B141">
        <v>75109.67</v>
      </c>
      <c r="C141">
        <v>6244</v>
      </c>
      <c r="D141">
        <v>96.3</v>
      </c>
      <c r="E141">
        <v>3.7</v>
      </c>
      <c r="F141" s="8">
        <v>0</v>
      </c>
      <c r="G141" s="8">
        <v>1</v>
      </c>
      <c r="H141" s="8">
        <v>0</v>
      </c>
    </row>
    <row r="142" spans="1:8">
      <c r="A142">
        <v>758827.64</v>
      </c>
      <c r="B142">
        <v>69779</v>
      </c>
      <c r="C142">
        <v>6544</v>
      </c>
      <c r="D142">
        <v>90.2</v>
      </c>
      <c r="E142">
        <v>3.3</v>
      </c>
      <c r="F142" s="8">
        <v>0</v>
      </c>
      <c r="G142" s="8">
        <v>1</v>
      </c>
      <c r="H142" s="8">
        <v>0</v>
      </c>
    </row>
    <row r="143" spans="1:8">
      <c r="A143">
        <v>646559.71</v>
      </c>
      <c r="B143">
        <v>44211.95</v>
      </c>
      <c r="C143">
        <v>5465</v>
      </c>
      <c r="D143">
        <v>90</v>
      </c>
      <c r="E143">
        <v>3.6</v>
      </c>
      <c r="F143" s="8">
        <v>0</v>
      </c>
      <c r="G143" s="8">
        <v>1</v>
      </c>
      <c r="H143" s="8">
        <v>0</v>
      </c>
    </row>
    <row r="144" spans="1:8">
      <c r="A144">
        <v>715890.53</v>
      </c>
      <c r="B144">
        <v>51430.31</v>
      </c>
      <c r="C144">
        <v>6427</v>
      </c>
      <c r="D144">
        <v>88.8</v>
      </c>
      <c r="E144">
        <v>4.0999999999999996</v>
      </c>
      <c r="F144" s="8">
        <v>0</v>
      </c>
      <c r="G144" s="8">
        <v>0</v>
      </c>
      <c r="H144" s="8">
        <v>0</v>
      </c>
    </row>
    <row r="145" spans="1:8">
      <c r="A145">
        <v>715097.57</v>
      </c>
      <c r="B145">
        <v>45706.49</v>
      </c>
      <c r="C145">
        <v>6704</v>
      </c>
      <c r="D145">
        <v>94.2</v>
      </c>
      <c r="E145">
        <v>4.2</v>
      </c>
      <c r="F145" s="8">
        <v>0</v>
      </c>
      <c r="G145" s="8">
        <v>0</v>
      </c>
      <c r="H145" s="8">
        <v>0</v>
      </c>
    </row>
    <row r="146" spans="1:8">
      <c r="A146">
        <v>682639.28</v>
      </c>
      <c r="B146">
        <v>44034.6</v>
      </c>
      <c r="C146">
        <v>5645</v>
      </c>
      <c r="D146">
        <v>88.5</v>
      </c>
      <c r="E146">
        <v>3.8</v>
      </c>
      <c r="F146" s="8">
        <v>0</v>
      </c>
      <c r="G146" s="8">
        <v>0</v>
      </c>
      <c r="H146" s="8">
        <v>0</v>
      </c>
    </row>
    <row r="147" spans="1:8">
      <c r="A147">
        <v>695098.51</v>
      </c>
      <c r="B147">
        <v>50198.12</v>
      </c>
      <c r="C147">
        <v>6089</v>
      </c>
      <c r="D147">
        <v>94</v>
      </c>
      <c r="E147">
        <v>3.9</v>
      </c>
      <c r="F147" s="8">
        <v>0</v>
      </c>
      <c r="G147" s="8">
        <v>0</v>
      </c>
      <c r="H147" s="8">
        <v>0</v>
      </c>
    </row>
    <row r="148" spans="1:8">
      <c r="A148">
        <v>577732.56999999995</v>
      </c>
      <c r="B148">
        <v>70488.2</v>
      </c>
      <c r="C148">
        <v>4312</v>
      </c>
      <c r="D148">
        <v>90.2</v>
      </c>
      <c r="E148">
        <v>3.2</v>
      </c>
      <c r="F148" s="8">
        <v>1</v>
      </c>
      <c r="G148" s="8">
        <v>0</v>
      </c>
      <c r="H148" s="8">
        <v>0</v>
      </c>
    </row>
    <row r="149" spans="1:8">
      <c r="A149">
        <v>537058.32999999996</v>
      </c>
      <c r="B149">
        <v>50909.27</v>
      </c>
      <c r="C149">
        <v>3152</v>
      </c>
      <c r="D149">
        <v>93.7</v>
      </c>
      <c r="E149">
        <v>3.5</v>
      </c>
      <c r="F149" s="8">
        <v>1</v>
      </c>
      <c r="G149" s="8">
        <v>0</v>
      </c>
      <c r="H149" s="8">
        <v>0</v>
      </c>
    </row>
    <row r="150" spans="1:8">
      <c r="A150">
        <v>601568.87</v>
      </c>
      <c r="B150">
        <v>53351.7</v>
      </c>
      <c r="C150">
        <v>4259</v>
      </c>
      <c r="D150">
        <v>93.7</v>
      </c>
      <c r="E150">
        <v>3.4</v>
      </c>
      <c r="F150" s="8">
        <v>1</v>
      </c>
      <c r="G150" s="8">
        <v>0</v>
      </c>
      <c r="H150" s="8">
        <v>0</v>
      </c>
    </row>
    <row r="151" spans="1:8">
      <c r="A151">
        <v>570964.84</v>
      </c>
      <c r="B151">
        <v>60322.400000000001</v>
      </c>
      <c r="C151">
        <v>3350</v>
      </c>
      <c r="D151">
        <v>89.4</v>
      </c>
      <c r="E151">
        <v>3.4</v>
      </c>
      <c r="F151" s="8">
        <v>1</v>
      </c>
      <c r="G151" s="8">
        <v>0</v>
      </c>
      <c r="H151" s="8">
        <v>0</v>
      </c>
    </row>
    <row r="152" spans="1:8">
      <c r="A152">
        <v>614024.91</v>
      </c>
      <c r="B152">
        <v>51575.68</v>
      </c>
      <c r="C152">
        <v>5329</v>
      </c>
      <c r="D152">
        <v>88.1</v>
      </c>
      <c r="E152">
        <v>3.8</v>
      </c>
      <c r="F152" s="8">
        <v>0</v>
      </c>
      <c r="G152" s="8">
        <v>1</v>
      </c>
      <c r="H152" s="8">
        <v>0</v>
      </c>
    </row>
    <row r="153" spans="1:8">
      <c r="A153">
        <v>712868.35</v>
      </c>
      <c r="B153">
        <v>43319.94</v>
      </c>
      <c r="C153">
        <v>6551</v>
      </c>
      <c r="D153">
        <v>99</v>
      </c>
      <c r="E153">
        <v>4.0999999999999996</v>
      </c>
      <c r="F153" s="8">
        <v>0</v>
      </c>
      <c r="G153" s="8">
        <v>1</v>
      </c>
      <c r="H153" s="8">
        <v>0</v>
      </c>
    </row>
    <row r="154" spans="1:8">
      <c r="A154">
        <v>696744.15</v>
      </c>
      <c r="B154">
        <v>47093.55</v>
      </c>
      <c r="C154">
        <v>5550</v>
      </c>
      <c r="D154">
        <v>95</v>
      </c>
      <c r="E154">
        <v>3.7</v>
      </c>
      <c r="F154" s="8">
        <v>0</v>
      </c>
      <c r="G154" s="8">
        <v>1</v>
      </c>
      <c r="H154" s="8">
        <v>0</v>
      </c>
    </row>
    <row r="155" spans="1:8">
      <c r="A155">
        <v>725847.99</v>
      </c>
      <c r="B155">
        <v>71855.09</v>
      </c>
      <c r="C155">
        <v>5911</v>
      </c>
      <c r="D155">
        <v>94.3</v>
      </c>
      <c r="E155">
        <v>4.0999999999999996</v>
      </c>
      <c r="F155" s="8">
        <v>0</v>
      </c>
      <c r="G155" s="8">
        <v>1</v>
      </c>
      <c r="H155" s="8">
        <v>0</v>
      </c>
    </row>
    <row r="156" spans="1:8">
      <c r="A156">
        <v>785028.25</v>
      </c>
      <c r="B156">
        <v>75645.23</v>
      </c>
      <c r="C156">
        <v>9674</v>
      </c>
      <c r="D156">
        <v>87.4</v>
      </c>
      <c r="E156">
        <v>4.5</v>
      </c>
      <c r="F156" s="8">
        <v>0</v>
      </c>
      <c r="G156" s="8">
        <v>0</v>
      </c>
      <c r="H156" s="8">
        <v>1</v>
      </c>
    </row>
    <row r="157" spans="1:8">
      <c r="A157">
        <v>698492.67</v>
      </c>
      <c r="B157">
        <v>64374.75</v>
      </c>
      <c r="C157">
        <v>6740</v>
      </c>
      <c r="D157">
        <v>87</v>
      </c>
      <c r="E157">
        <v>4.2</v>
      </c>
      <c r="F157" s="8">
        <v>0</v>
      </c>
      <c r="G157" s="8">
        <v>0</v>
      </c>
      <c r="H157" s="8">
        <v>1</v>
      </c>
    </row>
    <row r="158" spans="1:8">
      <c r="A158">
        <v>685830.24</v>
      </c>
      <c r="B158">
        <v>61433.84</v>
      </c>
      <c r="C158">
        <v>7745</v>
      </c>
      <c r="D158">
        <v>90.5</v>
      </c>
      <c r="E158">
        <v>4.2</v>
      </c>
      <c r="F158" s="8">
        <v>0</v>
      </c>
      <c r="G158" s="8">
        <v>0</v>
      </c>
      <c r="H158" s="8">
        <v>1</v>
      </c>
    </row>
    <row r="159" spans="1:8">
      <c r="A159">
        <v>702318.94</v>
      </c>
      <c r="B159">
        <v>42698.14</v>
      </c>
      <c r="C159">
        <v>7693</v>
      </c>
      <c r="D159">
        <v>90.1</v>
      </c>
      <c r="E159">
        <v>4.4000000000000004</v>
      </c>
      <c r="F159" s="8">
        <v>0</v>
      </c>
      <c r="G159" s="8">
        <v>0</v>
      </c>
      <c r="H159" s="8">
        <v>1</v>
      </c>
    </row>
    <row r="160" spans="1:8">
      <c r="A160">
        <v>700078.32</v>
      </c>
      <c r="B160">
        <v>86883.31</v>
      </c>
      <c r="C160">
        <v>6424</v>
      </c>
      <c r="D160">
        <v>85.2</v>
      </c>
      <c r="E160">
        <v>3.9</v>
      </c>
      <c r="F160" s="8">
        <v>1</v>
      </c>
      <c r="G160" s="8">
        <v>0</v>
      </c>
      <c r="H160" s="8">
        <v>0</v>
      </c>
    </row>
    <row r="161" spans="1:8">
      <c r="A161">
        <v>602002.31999999995</v>
      </c>
      <c r="B161">
        <v>41863.08</v>
      </c>
      <c r="C161">
        <v>5400</v>
      </c>
      <c r="D161">
        <v>91.6</v>
      </c>
      <c r="E161">
        <v>3</v>
      </c>
      <c r="F161" s="8">
        <v>1</v>
      </c>
      <c r="G161" s="8">
        <v>0</v>
      </c>
      <c r="H161" s="8">
        <v>0</v>
      </c>
    </row>
    <row r="162" spans="1:8">
      <c r="A162">
        <v>724216.07</v>
      </c>
      <c r="B162">
        <v>56918.16</v>
      </c>
      <c r="C162">
        <v>7015</v>
      </c>
      <c r="D162">
        <v>74.2</v>
      </c>
      <c r="E162">
        <v>3.4</v>
      </c>
      <c r="F162" s="8">
        <v>1</v>
      </c>
      <c r="G162" s="8">
        <v>0</v>
      </c>
      <c r="H162" s="8">
        <v>0</v>
      </c>
    </row>
    <row r="163" spans="1:8">
      <c r="A163">
        <v>620973.03</v>
      </c>
      <c r="B163">
        <v>23254.57</v>
      </c>
      <c r="C163">
        <v>3847</v>
      </c>
      <c r="D163">
        <v>93</v>
      </c>
      <c r="E163">
        <v>3.3</v>
      </c>
      <c r="F163" s="8">
        <v>1</v>
      </c>
      <c r="G163" s="8">
        <v>0</v>
      </c>
      <c r="H163" s="8">
        <v>0</v>
      </c>
    </row>
    <row r="164" spans="1:8">
      <c r="A164">
        <v>650480.06000000006</v>
      </c>
      <c r="B164">
        <v>41443.410000000003</v>
      </c>
      <c r="C164">
        <v>7455</v>
      </c>
      <c r="D164">
        <v>90.1</v>
      </c>
      <c r="E164">
        <v>4</v>
      </c>
      <c r="F164" s="8">
        <v>0</v>
      </c>
      <c r="G164" s="8">
        <v>1</v>
      </c>
      <c r="H164" s="8">
        <v>0</v>
      </c>
    </row>
    <row r="165" spans="1:8">
      <c r="A165">
        <v>778298.88</v>
      </c>
      <c r="B165">
        <v>48438.85</v>
      </c>
      <c r="C165">
        <v>6992</v>
      </c>
      <c r="D165">
        <v>91</v>
      </c>
      <c r="E165">
        <v>4.2</v>
      </c>
      <c r="F165" s="8">
        <v>0</v>
      </c>
      <c r="G165" s="8">
        <v>1</v>
      </c>
      <c r="H165" s="8">
        <v>0</v>
      </c>
    </row>
    <row r="166" spans="1:8">
      <c r="A166">
        <v>677096.71</v>
      </c>
      <c r="B166">
        <v>57143.3</v>
      </c>
      <c r="C166">
        <v>8038</v>
      </c>
      <c r="D166">
        <v>72.599999999999994</v>
      </c>
      <c r="E166">
        <v>4.2</v>
      </c>
      <c r="F166" s="8">
        <v>0</v>
      </c>
      <c r="G166" s="8">
        <v>1</v>
      </c>
      <c r="H166" s="8">
        <v>0</v>
      </c>
    </row>
    <row r="167" spans="1:8">
      <c r="A167">
        <v>692008.64</v>
      </c>
      <c r="B167">
        <v>66870.62</v>
      </c>
      <c r="C167">
        <v>6055</v>
      </c>
      <c r="D167">
        <v>93.8</v>
      </c>
      <c r="E167">
        <v>4.3</v>
      </c>
      <c r="F167" s="8">
        <v>0</v>
      </c>
      <c r="G167" s="8">
        <v>1</v>
      </c>
      <c r="H167" s="8">
        <v>0</v>
      </c>
    </row>
    <row r="168" spans="1:8">
      <c r="A168">
        <v>825797.91</v>
      </c>
      <c r="B168">
        <v>72150.53</v>
      </c>
      <c r="C168">
        <v>9323</v>
      </c>
      <c r="D168">
        <v>82.9</v>
      </c>
      <c r="E168">
        <v>4.3</v>
      </c>
      <c r="F168" s="8">
        <v>1</v>
      </c>
      <c r="G168" s="8">
        <v>0</v>
      </c>
      <c r="H168" s="8">
        <v>0</v>
      </c>
    </row>
    <row r="169" spans="1:8">
      <c r="A169">
        <v>706285.52</v>
      </c>
      <c r="B169">
        <v>35303.300000000003</v>
      </c>
      <c r="C169">
        <v>8789</v>
      </c>
      <c r="D169">
        <v>86.1</v>
      </c>
      <c r="E169">
        <v>4.2</v>
      </c>
      <c r="F169" s="8">
        <v>1</v>
      </c>
      <c r="G169" s="8">
        <v>0</v>
      </c>
      <c r="H169" s="8">
        <v>0</v>
      </c>
    </row>
    <row r="170" spans="1:8">
      <c r="A170">
        <v>665534.69999999995</v>
      </c>
      <c r="B170">
        <v>30301.86</v>
      </c>
      <c r="C170">
        <v>6939</v>
      </c>
      <c r="D170">
        <v>90.3</v>
      </c>
      <c r="E170">
        <v>4</v>
      </c>
      <c r="F170" s="8">
        <v>1</v>
      </c>
      <c r="G170" s="8">
        <v>0</v>
      </c>
      <c r="H170" s="8">
        <v>0</v>
      </c>
    </row>
    <row r="171" spans="1:8">
      <c r="A171">
        <v>820729.29</v>
      </c>
      <c r="B171">
        <v>78432.14</v>
      </c>
      <c r="C171">
        <v>9440</v>
      </c>
      <c r="D171">
        <v>89.2</v>
      </c>
      <c r="E171">
        <v>4.0999999999999996</v>
      </c>
      <c r="F171" s="8">
        <v>1</v>
      </c>
      <c r="G171" s="8">
        <v>0</v>
      </c>
      <c r="H171" s="8">
        <v>0</v>
      </c>
    </row>
    <row r="172" spans="1:8">
      <c r="A172">
        <v>739831.73</v>
      </c>
      <c r="B172">
        <v>62059.18</v>
      </c>
      <c r="C172">
        <v>9374</v>
      </c>
      <c r="D172">
        <v>87.1</v>
      </c>
      <c r="E172">
        <v>4.9000000000000004</v>
      </c>
      <c r="F172" s="8">
        <v>0</v>
      </c>
      <c r="G172" s="8">
        <v>0</v>
      </c>
      <c r="H172" s="8">
        <v>1</v>
      </c>
    </row>
    <row r="173" spans="1:8">
      <c r="A173">
        <v>593637.14</v>
      </c>
      <c r="B173">
        <v>32834.480000000003</v>
      </c>
      <c r="C173">
        <v>7576</v>
      </c>
      <c r="D173">
        <v>84.1</v>
      </c>
      <c r="E173">
        <v>5</v>
      </c>
      <c r="F173" s="8">
        <v>0</v>
      </c>
      <c r="G173" s="8">
        <v>0</v>
      </c>
      <c r="H173" s="8">
        <v>1</v>
      </c>
    </row>
    <row r="174" spans="1:8">
      <c r="A174">
        <v>769702.76</v>
      </c>
      <c r="B174">
        <v>50825.08</v>
      </c>
      <c r="C174">
        <v>8949</v>
      </c>
      <c r="D174">
        <v>84.7</v>
      </c>
      <c r="E174">
        <v>4.9000000000000004</v>
      </c>
      <c r="F174" s="8">
        <v>0</v>
      </c>
      <c r="G174" s="8">
        <v>0</v>
      </c>
      <c r="H174" s="8">
        <v>1</v>
      </c>
    </row>
    <row r="175" spans="1:8">
      <c r="A175">
        <v>679731.57</v>
      </c>
      <c r="B175">
        <v>36606.51</v>
      </c>
      <c r="C175">
        <v>7671</v>
      </c>
      <c r="D175">
        <v>89.8</v>
      </c>
      <c r="E175">
        <v>4.4000000000000004</v>
      </c>
      <c r="F175" s="8">
        <v>0</v>
      </c>
      <c r="G175" s="8">
        <v>0</v>
      </c>
      <c r="H175" s="8">
        <v>1</v>
      </c>
    </row>
    <row r="176" spans="1:8">
      <c r="A176">
        <v>780344.18</v>
      </c>
      <c r="B176">
        <v>65237.79</v>
      </c>
      <c r="C176">
        <v>8741</v>
      </c>
      <c r="D176">
        <v>94.4</v>
      </c>
      <c r="E176">
        <v>3.3</v>
      </c>
      <c r="F176" s="8">
        <v>0</v>
      </c>
      <c r="G176" s="8">
        <v>0</v>
      </c>
      <c r="H176" s="8">
        <v>1</v>
      </c>
    </row>
    <row r="177" spans="1:8">
      <c r="A177">
        <v>721364.11</v>
      </c>
      <c r="B177">
        <v>43645.98</v>
      </c>
      <c r="C177">
        <v>9480</v>
      </c>
      <c r="D177">
        <v>89</v>
      </c>
      <c r="E177">
        <v>3.1</v>
      </c>
      <c r="F177" s="8">
        <v>0</v>
      </c>
      <c r="G177" s="8">
        <v>0</v>
      </c>
      <c r="H177" s="8">
        <v>1</v>
      </c>
    </row>
    <row r="178" spans="1:8">
      <c r="A178">
        <v>758138.29</v>
      </c>
      <c r="B178">
        <v>68040.149999999994</v>
      </c>
      <c r="C178">
        <v>9826</v>
      </c>
      <c r="D178">
        <v>83.9</v>
      </c>
      <c r="E178">
        <v>3.6</v>
      </c>
      <c r="F178" s="8">
        <v>0</v>
      </c>
      <c r="G178" s="8">
        <v>0</v>
      </c>
      <c r="H178" s="8">
        <v>1</v>
      </c>
    </row>
    <row r="179" spans="1:8">
      <c r="A179">
        <v>804264</v>
      </c>
      <c r="B179">
        <v>63043.94</v>
      </c>
      <c r="C179">
        <v>10402</v>
      </c>
      <c r="D179">
        <v>93.9</v>
      </c>
      <c r="E179">
        <v>3.1</v>
      </c>
      <c r="F179" s="8">
        <v>0</v>
      </c>
      <c r="G179" s="8">
        <v>0</v>
      </c>
      <c r="H179" s="8">
        <v>1</v>
      </c>
    </row>
    <row r="180" spans="1:8">
      <c r="A180">
        <v>887537.75</v>
      </c>
      <c r="B180">
        <v>67494.09</v>
      </c>
      <c r="C180">
        <v>12361</v>
      </c>
      <c r="D180">
        <v>76.599999999999994</v>
      </c>
      <c r="E180">
        <v>3.7</v>
      </c>
      <c r="F180" s="8">
        <v>0</v>
      </c>
      <c r="G180" s="8">
        <v>0</v>
      </c>
      <c r="H180" s="8">
        <v>0</v>
      </c>
    </row>
    <row r="181" spans="1:8">
      <c r="A181">
        <v>783582</v>
      </c>
      <c r="B181">
        <v>29389.32</v>
      </c>
      <c r="C181">
        <v>7925</v>
      </c>
      <c r="D181">
        <v>90.9</v>
      </c>
      <c r="E181">
        <v>4</v>
      </c>
      <c r="F181" s="8">
        <v>0</v>
      </c>
      <c r="G181" s="8">
        <v>0</v>
      </c>
      <c r="H181" s="8">
        <v>0</v>
      </c>
    </row>
    <row r="182" spans="1:8">
      <c r="A182">
        <v>781955.52</v>
      </c>
      <c r="B182">
        <v>40535.089999999997</v>
      </c>
      <c r="C182">
        <v>8870</v>
      </c>
      <c r="D182">
        <v>86.6</v>
      </c>
      <c r="E182">
        <v>4.0999999999999996</v>
      </c>
      <c r="F182" s="8">
        <v>0</v>
      </c>
      <c r="G182" s="8">
        <v>0</v>
      </c>
      <c r="H182" s="8">
        <v>0</v>
      </c>
    </row>
    <row r="183" spans="1:8">
      <c r="A183">
        <v>898031.04</v>
      </c>
      <c r="B183">
        <v>74881.56</v>
      </c>
      <c r="C183">
        <v>9999</v>
      </c>
      <c r="D183">
        <v>89.6</v>
      </c>
      <c r="E183">
        <v>4.0999999999999996</v>
      </c>
      <c r="F183" s="8">
        <v>0</v>
      </c>
      <c r="G183" s="8">
        <v>0</v>
      </c>
      <c r="H183" s="8">
        <v>0</v>
      </c>
    </row>
    <row r="184" spans="1:8">
      <c r="A184">
        <v>855341.28</v>
      </c>
      <c r="B184">
        <v>68491.11</v>
      </c>
      <c r="C184">
        <v>11154</v>
      </c>
      <c r="D184">
        <v>89.4</v>
      </c>
      <c r="E184">
        <v>3.9</v>
      </c>
      <c r="F184" s="8">
        <v>0</v>
      </c>
      <c r="G184" s="8">
        <v>0</v>
      </c>
      <c r="H184" s="8">
        <v>0</v>
      </c>
    </row>
    <row r="185" spans="1:8">
      <c r="A185">
        <v>751393.88</v>
      </c>
      <c r="B185">
        <v>45209.25</v>
      </c>
      <c r="C185">
        <v>9287</v>
      </c>
      <c r="D185">
        <v>86.4</v>
      </c>
      <c r="E185">
        <v>3.6</v>
      </c>
      <c r="F185" s="8">
        <v>0</v>
      </c>
      <c r="G185" s="8">
        <v>0</v>
      </c>
      <c r="H185" s="8">
        <v>0</v>
      </c>
    </row>
    <row r="186" spans="1:8">
      <c r="A186">
        <v>761077.08</v>
      </c>
      <c r="B186">
        <v>63010.23</v>
      </c>
      <c r="C186">
        <v>9812</v>
      </c>
      <c r="D186">
        <v>76.8</v>
      </c>
      <c r="E186">
        <v>3.8</v>
      </c>
      <c r="F186" s="8">
        <v>0</v>
      </c>
      <c r="G186" s="8">
        <v>0</v>
      </c>
      <c r="H186" s="8">
        <v>0</v>
      </c>
    </row>
    <row r="187" spans="1:8">
      <c r="A187">
        <v>819660.59</v>
      </c>
      <c r="B187">
        <v>57948.88</v>
      </c>
      <c r="C187">
        <v>10741</v>
      </c>
      <c r="D187">
        <v>90.1</v>
      </c>
      <c r="E187">
        <v>3.1</v>
      </c>
      <c r="F187" s="8">
        <v>0</v>
      </c>
      <c r="G187" s="8">
        <v>0</v>
      </c>
      <c r="H187" s="8">
        <v>0</v>
      </c>
    </row>
    <row r="188" spans="1:8">
      <c r="A188">
        <v>681855.56</v>
      </c>
      <c r="B188">
        <v>71941.62</v>
      </c>
      <c r="C188">
        <v>6084</v>
      </c>
      <c r="D188">
        <v>93.7</v>
      </c>
      <c r="E188">
        <v>4.4000000000000004</v>
      </c>
      <c r="F188" s="8">
        <v>1</v>
      </c>
      <c r="G188" s="8">
        <v>0</v>
      </c>
      <c r="H188" s="8">
        <v>0</v>
      </c>
    </row>
    <row r="189" spans="1:8">
      <c r="A189">
        <v>678311.17</v>
      </c>
      <c r="B189">
        <v>57147.88</v>
      </c>
      <c r="C189">
        <v>5252</v>
      </c>
      <c r="D189">
        <v>95.5</v>
      </c>
      <c r="E189">
        <v>4.4000000000000004</v>
      </c>
      <c r="F189" s="8">
        <v>1</v>
      </c>
      <c r="G189" s="8">
        <v>0</v>
      </c>
      <c r="H189" s="8">
        <v>0</v>
      </c>
    </row>
    <row r="190" spans="1:8">
      <c r="A190">
        <v>765906.95</v>
      </c>
      <c r="B190">
        <v>48031.74</v>
      </c>
      <c r="C190">
        <v>6516</v>
      </c>
      <c r="D190">
        <v>99</v>
      </c>
      <c r="E190">
        <v>4.3</v>
      </c>
      <c r="F190" s="8">
        <v>1</v>
      </c>
      <c r="G190" s="8">
        <v>0</v>
      </c>
      <c r="H190" s="8">
        <v>0</v>
      </c>
    </row>
    <row r="191" spans="1:8">
      <c r="A191">
        <v>712546.38</v>
      </c>
      <c r="B191">
        <v>72784.800000000003</v>
      </c>
      <c r="C191">
        <v>7932</v>
      </c>
      <c r="D191">
        <v>74.900000000000006</v>
      </c>
      <c r="E191">
        <v>4.2</v>
      </c>
      <c r="F191" s="8">
        <v>1</v>
      </c>
      <c r="G191" s="8">
        <v>0</v>
      </c>
      <c r="H191" s="8">
        <v>0</v>
      </c>
    </row>
    <row r="192" spans="1:8">
      <c r="A192">
        <v>625993.82999999996</v>
      </c>
      <c r="B192">
        <v>71641.899999999994</v>
      </c>
      <c r="C192">
        <v>3506</v>
      </c>
      <c r="D192">
        <v>86.4</v>
      </c>
      <c r="E192">
        <v>4.0999999999999996</v>
      </c>
      <c r="F192" s="8">
        <v>0</v>
      </c>
      <c r="G192" s="8">
        <v>0</v>
      </c>
      <c r="H192" s="8">
        <v>1</v>
      </c>
    </row>
    <row r="193" spans="1:8">
      <c r="A193">
        <v>550962.93000000005</v>
      </c>
      <c r="B193">
        <v>55788.61</v>
      </c>
      <c r="C193">
        <v>2312</v>
      </c>
      <c r="D193">
        <v>91.3</v>
      </c>
      <c r="E193">
        <v>3.8</v>
      </c>
      <c r="F193" s="8">
        <v>0</v>
      </c>
      <c r="G193" s="8">
        <v>0</v>
      </c>
      <c r="H193" s="8">
        <v>1</v>
      </c>
    </row>
    <row r="194" spans="1:8">
      <c r="A194">
        <v>443275.59</v>
      </c>
      <c r="B194">
        <v>37705.879999999997</v>
      </c>
      <c r="C194">
        <v>1268</v>
      </c>
      <c r="D194">
        <v>84.1</v>
      </c>
      <c r="E194">
        <v>3.8</v>
      </c>
      <c r="F194" s="8">
        <v>0</v>
      </c>
      <c r="G194" s="8">
        <v>0</v>
      </c>
      <c r="H194" s="8">
        <v>1</v>
      </c>
    </row>
    <row r="195" spans="1:8">
      <c r="A195">
        <v>554012.06999999995</v>
      </c>
      <c r="B195">
        <v>54966.18</v>
      </c>
      <c r="C195">
        <v>4423</v>
      </c>
      <c r="D195">
        <v>88.7</v>
      </c>
      <c r="E195">
        <v>4.4000000000000004</v>
      </c>
      <c r="F195" s="8">
        <v>0</v>
      </c>
      <c r="G195" s="8">
        <v>0</v>
      </c>
      <c r="H195" s="8">
        <v>1</v>
      </c>
    </row>
    <row r="196" spans="1:8">
      <c r="A196">
        <v>643428.85</v>
      </c>
      <c r="B196">
        <v>81796.740000000005</v>
      </c>
      <c r="C196">
        <v>6177</v>
      </c>
      <c r="D196">
        <v>87.9</v>
      </c>
      <c r="E196">
        <v>3.2</v>
      </c>
      <c r="F196" s="8">
        <v>0</v>
      </c>
      <c r="G196" s="8">
        <v>0</v>
      </c>
      <c r="H196" s="8">
        <v>0</v>
      </c>
    </row>
    <row r="197" spans="1:8">
      <c r="A197">
        <v>611924.27</v>
      </c>
      <c r="B197">
        <v>51133.43</v>
      </c>
      <c r="C197">
        <v>5150</v>
      </c>
      <c r="D197">
        <v>88.5</v>
      </c>
      <c r="E197">
        <v>3.2</v>
      </c>
      <c r="F197" s="8">
        <v>0</v>
      </c>
      <c r="G197" s="8">
        <v>0</v>
      </c>
      <c r="H197" s="8">
        <v>0</v>
      </c>
    </row>
    <row r="198" spans="1:8">
      <c r="A198">
        <v>559422.02</v>
      </c>
      <c r="B198">
        <v>40220.18</v>
      </c>
      <c r="C198">
        <v>3783</v>
      </c>
      <c r="D198">
        <v>86.6</v>
      </c>
      <c r="E198">
        <v>3.7</v>
      </c>
      <c r="F198" s="8">
        <v>0</v>
      </c>
      <c r="G198" s="8">
        <v>0</v>
      </c>
      <c r="H198" s="8">
        <v>0</v>
      </c>
    </row>
    <row r="199" spans="1:8">
      <c r="A199">
        <v>449465.06</v>
      </c>
      <c r="B199">
        <v>41657.64</v>
      </c>
      <c r="C199">
        <v>3135</v>
      </c>
      <c r="D199">
        <v>85.4</v>
      </c>
      <c r="E199">
        <v>3.92</v>
      </c>
      <c r="F199" s="8">
        <v>0</v>
      </c>
      <c r="G199" s="8">
        <v>0</v>
      </c>
      <c r="H199" s="8">
        <v>0</v>
      </c>
    </row>
    <row r="200" spans="1:8">
      <c r="A200">
        <v>691447.43</v>
      </c>
      <c r="B200">
        <v>71851.45</v>
      </c>
      <c r="C200">
        <v>4970</v>
      </c>
      <c r="D200">
        <v>89.6</v>
      </c>
      <c r="E200">
        <v>4.2</v>
      </c>
      <c r="F200" s="8">
        <v>1</v>
      </c>
      <c r="G200" s="8">
        <v>0</v>
      </c>
      <c r="H200" s="8">
        <v>0</v>
      </c>
    </row>
    <row r="201" spans="1:8">
      <c r="A201">
        <v>574066.61</v>
      </c>
      <c r="B201">
        <v>54002.83</v>
      </c>
      <c r="C201">
        <v>4366</v>
      </c>
      <c r="D201">
        <v>90.6</v>
      </c>
      <c r="E201">
        <v>4.5999999999999996</v>
      </c>
      <c r="F201" s="8">
        <v>1</v>
      </c>
      <c r="G201" s="8">
        <v>0</v>
      </c>
      <c r="H201" s="8">
        <v>0</v>
      </c>
    </row>
    <row r="202" spans="1:8">
      <c r="A202">
        <v>578949.84</v>
      </c>
      <c r="B202">
        <v>54479.33</v>
      </c>
      <c r="C202">
        <v>5012</v>
      </c>
      <c r="D202">
        <v>86</v>
      </c>
      <c r="E202">
        <v>4.3</v>
      </c>
      <c r="F202" s="8">
        <v>1</v>
      </c>
      <c r="G202" s="8">
        <v>0</v>
      </c>
      <c r="H202" s="8">
        <v>0</v>
      </c>
    </row>
    <row r="203" spans="1:8">
      <c r="A203">
        <v>735786.64</v>
      </c>
      <c r="B203">
        <v>61391.8</v>
      </c>
      <c r="C203">
        <v>5575</v>
      </c>
      <c r="D203">
        <v>90</v>
      </c>
      <c r="E203">
        <v>4.8</v>
      </c>
      <c r="F203" s="8">
        <v>1</v>
      </c>
      <c r="G203" s="8">
        <v>0</v>
      </c>
      <c r="H203" s="8">
        <v>0</v>
      </c>
    </row>
    <row r="204" spans="1:8">
      <c r="A204">
        <v>598904.9</v>
      </c>
      <c r="B204">
        <v>22312.93</v>
      </c>
      <c r="C204">
        <v>5955</v>
      </c>
      <c r="D204">
        <v>84.2</v>
      </c>
      <c r="E204">
        <v>4.5999999999999996</v>
      </c>
      <c r="F204" s="8">
        <v>0</v>
      </c>
      <c r="G204" s="8">
        <v>0</v>
      </c>
      <c r="H204" s="8">
        <v>1</v>
      </c>
    </row>
    <row r="205" spans="1:8">
      <c r="A205">
        <v>787715.51</v>
      </c>
      <c r="B205">
        <v>78111.97</v>
      </c>
      <c r="C205">
        <v>6389</v>
      </c>
      <c r="D205">
        <v>83.9</v>
      </c>
      <c r="E205">
        <v>4.8</v>
      </c>
      <c r="F205" s="8">
        <v>0</v>
      </c>
      <c r="G205" s="8">
        <v>0</v>
      </c>
      <c r="H205" s="8">
        <v>1</v>
      </c>
    </row>
    <row r="206" spans="1:8">
      <c r="A206">
        <v>607084.92000000004</v>
      </c>
      <c r="B206">
        <v>35203.230000000003</v>
      </c>
      <c r="C206">
        <v>6896</v>
      </c>
      <c r="D206">
        <v>80.8</v>
      </c>
      <c r="E206">
        <v>5</v>
      </c>
      <c r="F206" s="8">
        <v>0</v>
      </c>
      <c r="G206" s="8">
        <v>0</v>
      </c>
      <c r="H206" s="8">
        <v>1</v>
      </c>
    </row>
    <row r="207" spans="1:8">
      <c r="A207">
        <v>650795.49</v>
      </c>
      <c r="B207">
        <v>64104.28</v>
      </c>
      <c r="C207">
        <v>6015</v>
      </c>
      <c r="D207">
        <v>88.7</v>
      </c>
      <c r="E207">
        <v>4</v>
      </c>
      <c r="F207" s="8">
        <v>0</v>
      </c>
      <c r="G207" s="8">
        <v>0</v>
      </c>
      <c r="H207" s="8">
        <v>1</v>
      </c>
    </row>
    <row r="208" spans="1:8">
      <c r="A208">
        <v>825060.52</v>
      </c>
      <c r="B208">
        <v>92090.14</v>
      </c>
      <c r="C208">
        <v>9476</v>
      </c>
      <c r="D208">
        <v>94.3</v>
      </c>
      <c r="E208">
        <v>3.7</v>
      </c>
      <c r="F208" s="8">
        <v>0</v>
      </c>
      <c r="G208" s="8">
        <v>0</v>
      </c>
      <c r="H208" s="8">
        <v>1</v>
      </c>
    </row>
    <row r="209" spans="1:8">
      <c r="A209">
        <v>795464.47</v>
      </c>
      <c r="B209">
        <v>54300.87</v>
      </c>
      <c r="C209">
        <v>7875</v>
      </c>
      <c r="D209">
        <v>94.1</v>
      </c>
      <c r="E209">
        <v>3.7</v>
      </c>
      <c r="F209" s="8">
        <v>0</v>
      </c>
      <c r="G209" s="8">
        <v>0</v>
      </c>
      <c r="H209" s="8">
        <v>1</v>
      </c>
    </row>
    <row r="210" spans="1:8">
      <c r="A210">
        <v>671868.59</v>
      </c>
      <c r="B210">
        <v>37983.35</v>
      </c>
      <c r="C210">
        <v>9283</v>
      </c>
      <c r="D210">
        <v>83.2</v>
      </c>
      <c r="E210">
        <v>3.7</v>
      </c>
      <c r="F210" s="8">
        <v>0</v>
      </c>
      <c r="G210" s="8">
        <v>0</v>
      </c>
      <c r="H210" s="8">
        <v>1</v>
      </c>
    </row>
    <row r="211" spans="1:8">
      <c r="A211">
        <v>675917.63</v>
      </c>
      <c r="B211">
        <v>56413.83</v>
      </c>
      <c r="C211">
        <v>8303</v>
      </c>
      <c r="D211">
        <v>93.6</v>
      </c>
      <c r="E211">
        <v>3.7</v>
      </c>
      <c r="F211" s="8">
        <v>0</v>
      </c>
      <c r="G211" s="8">
        <v>0</v>
      </c>
      <c r="H211" s="8">
        <v>1</v>
      </c>
    </row>
    <row r="212" spans="1:8">
      <c r="A212">
        <v>810446.53</v>
      </c>
      <c r="B212">
        <v>63457.19</v>
      </c>
      <c r="C212">
        <v>10125</v>
      </c>
      <c r="D212">
        <v>87</v>
      </c>
      <c r="E212">
        <v>3.7</v>
      </c>
      <c r="F212" s="8">
        <v>0</v>
      </c>
      <c r="G212" s="8">
        <v>0</v>
      </c>
      <c r="H212" s="8">
        <v>1</v>
      </c>
    </row>
    <row r="213" spans="1:8">
      <c r="A213">
        <v>691288.19</v>
      </c>
      <c r="B213">
        <v>62949.7</v>
      </c>
      <c r="C213">
        <v>9458</v>
      </c>
      <c r="D213">
        <v>84.9</v>
      </c>
      <c r="E213">
        <v>3.3</v>
      </c>
      <c r="F213" s="8">
        <v>0</v>
      </c>
      <c r="G213" s="8">
        <v>0</v>
      </c>
      <c r="H213" s="8">
        <v>1</v>
      </c>
    </row>
    <row r="214" spans="1:8">
      <c r="A214">
        <v>946833.54</v>
      </c>
      <c r="B214">
        <v>107970.19</v>
      </c>
      <c r="C214">
        <v>12870</v>
      </c>
      <c r="D214">
        <v>91.7</v>
      </c>
      <c r="E214">
        <v>3.7</v>
      </c>
      <c r="F214" s="8">
        <v>0</v>
      </c>
      <c r="G214" s="8">
        <v>0</v>
      </c>
      <c r="H214" s="8">
        <v>1</v>
      </c>
    </row>
    <row r="215" spans="1:8">
      <c r="A215">
        <v>761963.23</v>
      </c>
      <c r="B215">
        <v>49405.75</v>
      </c>
      <c r="C215">
        <v>9752</v>
      </c>
      <c r="D215">
        <v>87</v>
      </c>
      <c r="E215">
        <v>4.0999999999999996</v>
      </c>
      <c r="F215" s="8">
        <v>0</v>
      </c>
      <c r="G215" s="8">
        <v>0</v>
      </c>
      <c r="H215" s="8">
        <v>1</v>
      </c>
    </row>
    <row r="216" spans="1:8">
      <c r="A216">
        <v>812152.6</v>
      </c>
      <c r="B216">
        <v>50887.46</v>
      </c>
      <c r="C216">
        <v>9505</v>
      </c>
      <c r="D216">
        <v>89.7</v>
      </c>
      <c r="E216">
        <v>4.3</v>
      </c>
      <c r="F216" s="8">
        <v>0</v>
      </c>
      <c r="G216" s="8">
        <v>0</v>
      </c>
      <c r="H216" s="8">
        <v>0</v>
      </c>
    </row>
    <row r="217" spans="1:8">
      <c r="A217">
        <v>804975.5</v>
      </c>
      <c r="B217">
        <v>41819.449999999997</v>
      </c>
      <c r="C217">
        <v>9412</v>
      </c>
      <c r="D217">
        <v>91</v>
      </c>
      <c r="E217">
        <v>4.2</v>
      </c>
      <c r="F217" s="8">
        <v>0</v>
      </c>
      <c r="G217" s="8">
        <v>0</v>
      </c>
      <c r="H217" s="8">
        <v>0</v>
      </c>
    </row>
    <row r="218" spans="1:8">
      <c r="A218">
        <v>752321.72</v>
      </c>
      <c r="B218">
        <v>35296.54</v>
      </c>
      <c r="C218">
        <v>9644</v>
      </c>
      <c r="D218">
        <v>88</v>
      </c>
      <c r="E218">
        <v>4.7</v>
      </c>
      <c r="F218" s="8">
        <v>0</v>
      </c>
      <c r="G218" s="8">
        <v>0</v>
      </c>
      <c r="H218" s="8">
        <v>0</v>
      </c>
    </row>
    <row r="219" spans="1:8">
      <c r="A219">
        <v>836908.24</v>
      </c>
      <c r="B219">
        <v>47391.09</v>
      </c>
      <c r="C219">
        <v>11224</v>
      </c>
      <c r="D219">
        <v>88.4</v>
      </c>
      <c r="E219">
        <v>4.9000000000000004</v>
      </c>
      <c r="F219" s="8">
        <v>0</v>
      </c>
      <c r="G219" s="8">
        <v>0</v>
      </c>
      <c r="H219" s="8">
        <v>0</v>
      </c>
    </row>
    <row r="220" spans="1:8">
      <c r="A220">
        <v>674289.1</v>
      </c>
      <c r="B220">
        <v>69180.539999999994</v>
      </c>
      <c r="C220">
        <v>5394</v>
      </c>
      <c r="D220">
        <v>82.9</v>
      </c>
      <c r="E220">
        <v>3.3</v>
      </c>
      <c r="F220" s="8">
        <v>1</v>
      </c>
      <c r="G220" s="8">
        <v>0</v>
      </c>
      <c r="H220" s="8">
        <v>0</v>
      </c>
    </row>
    <row r="221" spans="1:8">
      <c r="A221">
        <v>622892.42000000004</v>
      </c>
      <c r="B221">
        <v>33987.33</v>
      </c>
      <c r="C221">
        <v>5014</v>
      </c>
      <c r="D221">
        <v>94.3</v>
      </c>
      <c r="E221">
        <v>3.9</v>
      </c>
      <c r="F221" s="8">
        <v>1</v>
      </c>
      <c r="G221" s="8">
        <v>0</v>
      </c>
      <c r="H221" s="8">
        <v>0</v>
      </c>
    </row>
    <row r="222" spans="1:8">
      <c r="A222">
        <v>673348.56</v>
      </c>
      <c r="B222">
        <v>58785.33</v>
      </c>
      <c r="C222">
        <v>4467</v>
      </c>
      <c r="D222">
        <v>90.7</v>
      </c>
      <c r="E222">
        <v>3.7</v>
      </c>
      <c r="F222" s="8">
        <v>1</v>
      </c>
      <c r="G222" s="8">
        <v>0</v>
      </c>
      <c r="H222" s="8">
        <v>0</v>
      </c>
    </row>
    <row r="223" spans="1:8">
      <c r="A223">
        <v>606278.30000000005</v>
      </c>
      <c r="B223">
        <v>16451.849999999999</v>
      </c>
      <c r="C223">
        <v>4678</v>
      </c>
      <c r="D223">
        <v>95.9</v>
      </c>
      <c r="E223">
        <v>3.9</v>
      </c>
      <c r="F223" s="8">
        <v>1</v>
      </c>
      <c r="G223" s="8">
        <v>0</v>
      </c>
      <c r="H223" s="8">
        <v>0</v>
      </c>
    </row>
    <row r="224" spans="1:8">
      <c r="A224">
        <v>712219.81</v>
      </c>
      <c r="B224">
        <v>53367.73</v>
      </c>
      <c r="C224">
        <v>7291</v>
      </c>
      <c r="D224">
        <v>90.6</v>
      </c>
      <c r="E224">
        <v>3.8</v>
      </c>
      <c r="F224" s="8">
        <v>0</v>
      </c>
      <c r="G224" s="8">
        <v>0</v>
      </c>
      <c r="H224" s="8">
        <v>1</v>
      </c>
    </row>
    <row r="225" spans="1:8">
      <c r="A225">
        <v>672670.54</v>
      </c>
      <c r="B225">
        <v>27194.639999999999</v>
      </c>
      <c r="C225">
        <v>7404</v>
      </c>
      <c r="D225">
        <v>90.2</v>
      </c>
      <c r="E225">
        <v>3.4</v>
      </c>
      <c r="F225" s="8">
        <v>0</v>
      </c>
      <c r="G225" s="8">
        <v>0</v>
      </c>
      <c r="H225" s="8">
        <v>1</v>
      </c>
    </row>
    <row r="226" spans="1:8">
      <c r="A226">
        <v>732667.92</v>
      </c>
      <c r="B226">
        <v>66962.740000000005</v>
      </c>
      <c r="C226">
        <v>7880</v>
      </c>
      <c r="D226">
        <v>90.4</v>
      </c>
      <c r="E226">
        <v>3.3</v>
      </c>
      <c r="F226" s="8">
        <v>0</v>
      </c>
      <c r="G226" s="8">
        <v>0</v>
      </c>
      <c r="H226" s="8">
        <v>1</v>
      </c>
    </row>
    <row r="227" spans="1:8">
      <c r="A227">
        <v>723531.4</v>
      </c>
      <c r="B227">
        <v>73540.990000000005</v>
      </c>
      <c r="C227">
        <v>8773</v>
      </c>
      <c r="D227">
        <v>84.4</v>
      </c>
      <c r="E227">
        <v>3.6</v>
      </c>
      <c r="F227" s="8">
        <v>0</v>
      </c>
      <c r="G227" s="8">
        <v>0</v>
      </c>
      <c r="H227" s="8">
        <v>1</v>
      </c>
    </row>
    <row r="228" spans="1:8">
      <c r="A228">
        <v>641564.6</v>
      </c>
      <c r="B228">
        <v>68212.289999999994</v>
      </c>
      <c r="C228">
        <v>4713</v>
      </c>
      <c r="D228">
        <v>82.6</v>
      </c>
      <c r="E228">
        <v>3</v>
      </c>
      <c r="F228" s="8">
        <v>0</v>
      </c>
      <c r="G228" s="8">
        <v>0</v>
      </c>
      <c r="H228" s="8">
        <v>1</v>
      </c>
    </row>
    <row r="229" spans="1:8">
      <c r="A229">
        <v>536545.49</v>
      </c>
      <c r="B229">
        <v>57225.98</v>
      </c>
      <c r="C229">
        <v>2842</v>
      </c>
      <c r="D229">
        <v>79.5</v>
      </c>
      <c r="E229">
        <v>3.4</v>
      </c>
      <c r="F229" s="8">
        <v>0</v>
      </c>
      <c r="G229" s="8">
        <v>0</v>
      </c>
      <c r="H229" s="8">
        <v>1</v>
      </c>
    </row>
    <row r="230" spans="1:8">
      <c r="A230">
        <v>527681.56000000006</v>
      </c>
      <c r="B230">
        <v>42932.02</v>
      </c>
      <c r="C230">
        <v>3872</v>
      </c>
      <c r="D230">
        <v>83.2</v>
      </c>
      <c r="E230">
        <v>3.3</v>
      </c>
      <c r="F230" s="8">
        <v>0</v>
      </c>
      <c r="G230" s="8">
        <v>0</v>
      </c>
      <c r="H230" s="8">
        <v>1</v>
      </c>
    </row>
    <row r="231" spans="1:8">
      <c r="A231">
        <v>529598.93999999994</v>
      </c>
      <c r="B231">
        <v>39341.449999999997</v>
      </c>
      <c r="C231">
        <v>1375</v>
      </c>
      <c r="D231">
        <v>95</v>
      </c>
      <c r="E231">
        <v>3.92</v>
      </c>
      <c r="F231" s="8">
        <v>0</v>
      </c>
      <c r="G231" s="8">
        <v>0</v>
      </c>
      <c r="H231" s="8">
        <v>1</v>
      </c>
    </row>
    <row r="232" spans="1:8">
      <c r="A232">
        <v>570963.31000000006</v>
      </c>
      <c r="B232">
        <v>37324.230000000003</v>
      </c>
      <c r="C232">
        <v>5957</v>
      </c>
      <c r="D232">
        <v>85.9</v>
      </c>
      <c r="E232">
        <v>3.8</v>
      </c>
      <c r="F232" s="8">
        <v>0</v>
      </c>
      <c r="G232" s="8">
        <v>0</v>
      </c>
      <c r="H232" s="8">
        <v>1</v>
      </c>
    </row>
    <row r="233" spans="1:8">
      <c r="A233">
        <v>870937.4</v>
      </c>
      <c r="B233">
        <v>113736</v>
      </c>
      <c r="C233">
        <v>8961</v>
      </c>
      <c r="D233">
        <v>86.2</v>
      </c>
      <c r="E233">
        <v>4</v>
      </c>
      <c r="F233" s="8">
        <v>0</v>
      </c>
      <c r="G233" s="8">
        <v>0</v>
      </c>
      <c r="H233" s="8">
        <v>1</v>
      </c>
    </row>
    <row r="234" spans="1:8">
      <c r="A234">
        <v>596969.27</v>
      </c>
      <c r="B234">
        <v>33173.949999999997</v>
      </c>
      <c r="C234">
        <v>6545</v>
      </c>
      <c r="D234">
        <v>84.4</v>
      </c>
      <c r="E234">
        <v>3.9</v>
      </c>
      <c r="F234" s="8">
        <v>0</v>
      </c>
      <c r="G234" s="8">
        <v>0</v>
      </c>
      <c r="H234" s="8">
        <v>1</v>
      </c>
    </row>
    <row r="235" spans="1:8">
      <c r="A235">
        <v>647512.85</v>
      </c>
      <c r="B235">
        <v>25818.080000000002</v>
      </c>
      <c r="C235">
        <v>5457</v>
      </c>
      <c r="D235">
        <v>95.4</v>
      </c>
      <c r="E235">
        <v>3.7</v>
      </c>
      <c r="F235" s="8">
        <v>0</v>
      </c>
      <c r="G235" s="8">
        <v>0</v>
      </c>
      <c r="H235" s="8">
        <v>1</v>
      </c>
    </row>
    <row r="236" spans="1:8">
      <c r="A236">
        <v>658072.14</v>
      </c>
      <c r="B236">
        <v>47241.919999999998</v>
      </c>
      <c r="C236">
        <v>4264</v>
      </c>
      <c r="D236">
        <v>95.3</v>
      </c>
      <c r="E236">
        <v>4.3</v>
      </c>
      <c r="F236" s="8">
        <v>0</v>
      </c>
      <c r="G236" s="8">
        <v>0</v>
      </c>
      <c r="H236" s="8">
        <v>0</v>
      </c>
    </row>
    <row r="237" spans="1:8">
      <c r="A237">
        <v>723305.11</v>
      </c>
      <c r="B237">
        <v>61650.79</v>
      </c>
      <c r="C237">
        <v>5321</v>
      </c>
      <c r="D237">
        <v>89.2</v>
      </c>
      <c r="E237">
        <v>4</v>
      </c>
      <c r="F237" s="8">
        <v>0</v>
      </c>
      <c r="G237" s="8">
        <v>0</v>
      </c>
      <c r="H237" s="8">
        <v>0</v>
      </c>
    </row>
    <row r="238" spans="1:8">
      <c r="A238">
        <v>640666.53</v>
      </c>
      <c r="B238">
        <v>62582.71</v>
      </c>
      <c r="C238">
        <v>5479</v>
      </c>
      <c r="D238">
        <v>81.2</v>
      </c>
      <c r="E238">
        <v>4.5</v>
      </c>
      <c r="F238" s="8">
        <v>0</v>
      </c>
      <c r="G238" s="8">
        <v>0</v>
      </c>
      <c r="H238" s="8">
        <v>0</v>
      </c>
    </row>
    <row r="239" spans="1:8">
      <c r="A239">
        <v>670629.48</v>
      </c>
      <c r="B239">
        <v>47944.14</v>
      </c>
      <c r="C239">
        <v>6169</v>
      </c>
      <c r="D239">
        <v>92.2</v>
      </c>
      <c r="E239">
        <v>4.0999999999999996</v>
      </c>
      <c r="F239" s="8">
        <v>0</v>
      </c>
      <c r="G239" s="8">
        <v>0</v>
      </c>
      <c r="H239" s="8">
        <v>0</v>
      </c>
    </row>
    <row r="240" spans="1:8">
      <c r="A240">
        <v>721079.35</v>
      </c>
      <c r="B240">
        <v>46495.4</v>
      </c>
      <c r="C240">
        <v>9908</v>
      </c>
      <c r="D240">
        <v>89.4</v>
      </c>
      <c r="E240">
        <v>3.7</v>
      </c>
      <c r="F240" s="8">
        <v>0</v>
      </c>
      <c r="G240" s="8">
        <v>0</v>
      </c>
      <c r="H240" s="8">
        <v>0</v>
      </c>
    </row>
    <row r="241" spans="1:8">
      <c r="A241">
        <v>810355.02</v>
      </c>
      <c r="B241">
        <v>72961.95</v>
      </c>
      <c r="C241">
        <v>9996</v>
      </c>
      <c r="D241">
        <v>89.1</v>
      </c>
      <c r="E241">
        <v>3.4</v>
      </c>
      <c r="F241" s="8">
        <v>0</v>
      </c>
      <c r="G241" s="8">
        <v>0</v>
      </c>
      <c r="H241" s="8">
        <v>0</v>
      </c>
    </row>
    <row r="242" spans="1:8">
      <c r="A242">
        <v>761919.25</v>
      </c>
      <c r="B242">
        <v>59060.05</v>
      </c>
      <c r="C242">
        <v>9702</v>
      </c>
      <c r="D242">
        <v>80.900000000000006</v>
      </c>
      <c r="E242">
        <v>3.2</v>
      </c>
      <c r="F242" s="8">
        <v>0</v>
      </c>
      <c r="G242" s="8">
        <v>0</v>
      </c>
      <c r="H242" s="8">
        <v>0</v>
      </c>
    </row>
    <row r="243" spans="1:8">
      <c r="A243">
        <v>737070.18</v>
      </c>
      <c r="B243">
        <v>26248.1</v>
      </c>
      <c r="C243">
        <v>9314</v>
      </c>
      <c r="D243">
        <v>83.7</v>
      </c>
      <c r="E243">
        <v>3.3</v>
      </c>
      <c r="F243" s="8">
        <v>0</v>
      </c>
      <c r="G243" s="8">
        <v>0</v>
      </c>
      <c r="H243" s="8">
        <v>0</v>
      </c>
    </row>
    <row r="244" spans="1:8">
      <c r="A244">
        <v>776992.93</v>
      </c>
      <c r="B244">
        <v>69900.12</v>
      </c>
      <c r="C244">
        <v>8055</v>
      </c>
      <c r="D244">
        <v>85.6</v>
      </c>
      <c r="E244">
        <v>2.9</v>
      </c>
      <c r="F244" s="8">
        <v>0</v>
      </c>
      <c r="G244" s="8">
        <v>1</v>
      </c>
      <c r="H244" s="8">
        <v>0</v>
      </c>
    </row>
    <row r="245" spans="1:8">
      <c r="A245">
        <v>676337.41</v>
      </c>
      <c r="B245">
        <v>51781.599999999999</v>
      </c>
      <c r="C245">
        <v>5648</v>
      </c>
      <c r="D245">
        <v>85.5</v>
      </c>
      <c r="E245">
        <v>3.7</v>
      </c>
      <c r="F245" s="8">
        <v>0</v>
      </c>
      <c r="G245" s="8">
        <v>1</v>
      </c>
      <c r="H245" s="8">
        <v>0</v>
      </c>
    </row>
    <row r="246" spans="1:8">
      <c r="A246">
        <v>828219.67</v>
      </c>
      <c r="B246">
        <v>70799.64</v>
      </c>
      <c r="C246">
        <v>10076</v>
      </c>
      <c r="D246">
        <v>84.8</v>
      </c>
      <c r="E246">
        <v>3.5</v>
      </c>
      <c r="F246" s="8">
        <v>0</v>
      </c>
      <c r="G246" s="8">
        <v>1</v>
      </c>
      <c r="H246" s="8">
        <v>0</v>
      </c>
    </row>
    <row r="247" spans="1:8">
      <c r="A247">
        <v>763159.92</v>
      </c>
      <c r="B247">
        <v>53546.34</v>
      </c>
      <c r="C247">
        <v>8004</v>
      </c>
      <c r="D247">
        <v>95.2</v>
      </c>
      <c r="E247">
        <v>3</v>
      </c>
      <c r="F247" s="8">
        <v>0</v>
      </c>
      <c r="G247" s="8">
        <v>1</v>
      </c>
      <c r="H247" s="8">
        <v>0</v>
      </c>
    </row>
    <row r="248" spans="1:8">
      <c r="A248">
        <v>802001.68</v>
      </c>
      <c r="B248">
        <v>76942.2</v>
      </c>
      <c r="C248">
        <v>8934</v>
      </c>
      <c r="D248">
        <v>91</v>
      </c>
      <c r="E248">
        <v>3.2</v>
      </c>
      <c r="F248" s="8">
        <v>0</v>
      </c>
      <c r="G248" s="8">
        <v>0</v>
      </c>
      <c r="H248" s="8">
        <v>1</v>
      </c>
    </row>
    <row r="249" spans="1:8">
      <c r="A249">
        <v>750471.34</v>
      </c>
      <c r="B249">
        <v>48060.78</v>
      </c>
      <c r="C249">
        <v>8733</v>
      </c>
      <c r="D249">
        <v>89.9</v>
      </c>
      <c r="E249">
        <v>3.4</v>
      </c>
      <c r="F249" s="8">
        <v>0</v>
      </c>
      <c r="G249" s="8">
        <v>0</v>
      </c>
      <c r="H249" s="8">
        <v>1</v>
      </c>
    </row>
    <row r="250" spans="1:8">
      <c r="A250">
        <v>679230.86</v>
      </c>
      <c r="B250">
        <v>57390.04</v>
      </c>
      <c r="C250">
        <v>7374</v>
      </c>
      <c r="D250">
        <v>91.8</v>
      </c>
      <c r="E250">
        <v>3.1</v>
      </c>
      <c r="F250" s="8">
        <v>0</v>
      </c>
      <c r="G250" s="8">
        <v>0</v>
      </c>
      <c r="H250" s="8">
        <v>1</v>
      </c>
    </row>
    <row r="251" spans="1:8">
      <c r="A251">
        <v>679888.74</v>
      </c>
      <c r="B251">
        <v>21536.18</v>
      </c>
      <c r="C251">
        <v>8119</v>
      </c>
      <c r="D251">
        <v>90.4</v>
      </c>
      <c r="E251">
        <v>3.3</v>
      </c>
      <c r="F251" s="8">
        <v>0</v>
      </c>
      <c r="G251" s="8">
        <v>0</v>
      </c>
      <c r="H251" s="8">
        <v>1</v>
      </c>
    </row>
    <row r="252" spans="1:8">
      <c r="A252">
        <v>606783.67000000004</v>
      </c>
      <c r="B252">
        <v>40923.67</v>
      </c>
      <c r="C252">
        <v>3875</v>
      </c>
      <c r="D252">
        <v>96.1</v>
      </c>
      <c r="E252">
        <v>3.8</v>
      </c>
      <c r="F252" s="8">
        <v>1</v>
      </c>
      <c r="G252" s="8">
        <v>0</v>
      </c>
      <c r="H252" s="8">
        <v>0</v>
      </c>
    </row>
    <row r="253" spans="1:8">
      <c r="A253">
        <v>642751.42000000004</v>
      </c>
      <c r="B253">
        <v>72932.55</v>
      </c>
      <c r="C253">
        <v>5765</v>
      </c>
      <c r="D253">
        <v>81.8</v>
      </c>
      <c r="E253">
        <v>3.6</v>
      </c>
      <c r="F253" s="8">
        <v>1</v>
      </c>
      <c r="G253" s="8">
        <v>0</v>
      </c>
      <c r="H253" s="8">
        <v>0</v>
      </c>
    </row>
    <row r="254" spans="1:8">
      <c r="A254">
        <v>647953.78</v>
      </c>
      <c r="B254">
        <v>38361.93</v>
      </c>
      <c r="C254">
        <v>6322</v>
      </c>
      <c r="D254">
        <v>88.4</v>
      </c>
      <c r="E254">
        <v>4</v>
      </c>
      <c r="F254" s="8">
        <v>1</v>
      </c>
      <c r="G254" s="8">
        <v>0</v>
      </c>
      <c r="H254" s="8">
        <v>0</v>
      </c>
    </row>
    <row r="255" spans="1:8">
      <c r="A255">
        <v>729440.45</v>
      </c>
      <c r="B255">
        <v>97480.94</v>
      </c>
      <c r="C255">
        <v>6840</v>
      </c>
      <c r="D255">
        <v>79.2</v>
      </c>
      <c r="E255">
        <v>4</v>
      </c>
      <c r="F255" s="8">
        <v>1</v>
      </c>
      <c r="G255" s="8">
        <v>0</v>
      </c>
      <c r="H255" s="8">
        <v>0</v>
      </c>
    </row>
    <row r="256" spans="1:8">
      <c r="A256">
        <v>764949</v>
      </c>
      <c r="B256">
        <v>81801.8</v>
      </c>
      <c r="C256">
        <v>6782</v>
      </c>
      <c r="D256">
        <v>99</v>
      </c>
      <c r="E256">
        <v>3.7</v>
      </c>
      <c r="F256" s="8">
        <v>0</v>
      </c>
      <c r="G256" s="8">
        <v>1</v>
      </c>
      <c r="H256" s="8">
        <v>0</v>
      </c>
    </row>
    <row r="257" spans="1:8">
      <c r="A257">
        <v>799046.94</v>
      </c>
      <c r="B257">
        <v>63582.11</v>
      </c>
      <c r="C257">
        <v>6856</v>
      </c>
      <c r="D257">
        <v>89.5</v>
      </c>
      <c r="E257">
        <v>3.2</v>
      </c>
      <c r="F257" s="8">
        <v>0</v>
      </c>
      <c r="G257" s="8">
        <v>1</v>
      </c>
      <c r="H257" s="8">
        <v>0</v>
      </c>
    </row>
    <row r="258" spans="1:8">
      <c r="A258">
        <v>720079.54</v>
      </c>
      <c r="B258">
        <v>75412.740000000005</v>
      </c>
      <c r="C258">
        <v>5641</v>
      </c>
      <c r="D258">
        <v>87.9</v>
      </c>
      <c r="E258">
        <v>3.6</v>
      </c>
      <c r="F258" s="8">
        <v>0</v>
      </c>
      <c r="G258" s="8">
        <v>1</v>
      </c>
      <c r="H258" s="8">
        <v>0</v>
      </c>
    </row>
    <row r="259" spans="1:8">
      <c r="A259">
        <v>612390.14</v>
      </c>
      <c r="B259">
        <v>36290.080000000002</v>
      </c>
      <c r="C259">
        <v>5787</v>
      </c>
      <c r="D259">
        <v>88.3</v>
      </c>
      <c r="E259">
        <v>4.0999999999999996</v>
      </c>
      <c r="F259" s="8">
        <v>0</v>
      </c>
      <c r="G259" s="8">
        <v>1</v>
      </c>
      <c r="H259" s="8">
        <v>0</v>
      </c>
    </row>
    <row r="260" spans="1:8">
      <c r="A260">
        <v>840108.12</v>
      </c>
      <c r="B260">
        <v>65272.58</v>
      </c>
      <c r="C260">
        <v>8165</v>
      </c>
      <c r="D260">
        <v>87.8</v>
      </c>
      <c r="E260">
        <v>4.3</v>
      </c>
      <c r="F260" s="8">
        <v>0</v>
      </c>
      <c r="G260" s="8">
        <v>1</v>
      </c>
      <c r="H260" s="8">
        <v>0</v>
      </c>
    </row>
    <row r="261" spans="1:8">
      <c r="A261">
        <v>697888.09</v>
      </c>
      <c r="B261">
        <v>28670.43</v>
      </c>
      <c r="C261">
        <v>7574</v>
      </c>
      <c r="D261">
        <v>82.7</v>
      </c>
      <c r="E261">
        <v>4.5999999999999996</v>
      </c>
      <c r="F261" s="8">
        <v>0</v>
      </c>
      <c r="G261" s="8">
        <v>1</v>
      </c>
      <c r="H261" s="8">
        <v>0</v>
      </c>
    </row>
    <row r="262" spans="1:8">
      <c r="A262">
        <v>746115.59</v>
      </c>
      <c r="B262">
        <v>44189.34</v>
      </c>
      <c r="C262">
        <v>8634</v>
      </c>
      <c r="D262">
        <v>87.5</v>
      </c>
      <c r="E262">
        <v>4.4000000000000004</v>
      </c>
      <c r="F262" s="8">
        <v>0</v>
      </c>
      <c r="G262" s="8">
        <v>1</v>
      </c>
      <c r="H262" s="8">
        <v>0</v>
      </c>
    </row>
    <row r="263" spans="1:8">
      <c r="A263">
        <v>776110.32</v>
      </c>
      <c r="B263">
        <v>38397.82</v>
      </c>
      <c r="C263">
        <v>7836</v>
      </c>
      <c r="D263">
        <v>92.2</v>
      </c>
      <c r="E263">
        <v>3.6</v>
      </c>
      <c r="F263" s="8">
        <v>0</v>
      </c>
      <c r="G263" s="8">
        <v>1</v>
      </c>
      <c r="H263" s="8">
        <v>0</v>
      </c>
    </row>
    <row r="264" spans="1:8">
      <c r="A264">
        <v>528852.62</v>
      </c>
      <c r="B264">
        <v>14519.37</v>
      </c>
      <c r="C264">
        <v>3047</v>
      </c>
      <c r="D264">
        <v>90.3</v>
      </c>
      <c r="E264">
        <v>4.2</v>
      </c>
      <c r="F264" s="8">
        <v>0</v>
      </c>
      <c r="G264" s="8">
        <v>0</v>
      </c>
      <c r="H264" s="8">
        <v>0</v>
      </c>
    </row>
    <row r="265" spans="1:8">
      <c r="A265">
        <v>605751.32999999996</v>
      </c>
      <c r="B265">
        <v>43288.2</v>
      </c>
      <c r="C265">
        <v>4783</v>
      </c>
      <c r="D265">
        <v>87.3</v>
      </c>
      <c r="E265">
        <v>4.2</v>
      </c>
      <c r="F265" s="8">
        <v>0</v>
      </c>
      <c r="G265" s="8">
        <v>0</v>
      </c>
      <c r="H265" s="8">
        <v>0</v>
      </c>
    </row>
    <row r="266" spans="1:8">
      <c r="A266">
        <v>677640.65</v>
      </c>
      <c r="B266">
        <v>51450.55</v>
      </c>
      <c r="C266">
        <v>4902</v>
      </c>
      <c r="D266">
        <v>83.7</v>
      </c>
      <c r="E266">
        <v>4.2</v>
      </c>
      <c r="F266" s="8">
        <v>0</v>
      </c>
      <c r="G266" s="8">
        <v>0</v>
      </c>
      <c r="H266" s="8">
        <v>0</v>
      </c>
    </row>
    <row r="267" spans="1:8">
      <c r="A267">
        <v>636613.23</v>
      </c>
      <c r="B267">
        <v>58688.26</v>
      </c>
      <c r="C267">
        <v>4022</v>
      </c>
      <c r="D267">
        <v>93.8</v>
      </c>
      <c r="E267">
        <v>3.7</v>
      </c>
      <c r="F267" s="8">
        <v>0</v>
      </c>
      <c r="G267" s="8">
        <v>0</v>
      </c>
      <c r="H267" s="8">
        <v>0</v>
      </c>
    </row>
    <row r="268" spans="1:8">
      <c r="A268">
        <v>708985.19</v>
      </c>
      <c r="B268">
        <v>58981.91</v>
      </c>
      <c r="C268">
        <v>7324</v>
      </c>
      <c r="D268">
        <v>95.8</v>
      </c>
      <c r="E268">
        <v>3.5</v>
      </c>
      <c r="F268" s="8">
        <v>0</v>
      </c>
      <c r="G268" s="8">
        <v>0</v>
      </c>
      <c r="H268" s="8">
        <v>1</v>
      </c>
    </row>
    <row r="269" spans="1:8">
      <c r="A269">
        <v>767792.94</v>
      </c>
      <c r="B269">
        <v>73454.539999999994</v>
      </c>
      <c r="C269">
        <v>8129</v>
      </c>
      <c r="D269">
        <v>85.2</v>
      </c>
      <c r="E269">
        <v>3.7</v>
      </c>
      <c r="F269" s="8">
        <v>0</v>
      </c>
      <c r="G269" s="8">
        <v>0</v>
      </c>
      <c r="H269" s="8">
        <v>1</v>
      </c>
    </row>
    <row r="270" spans="1:8">
      <c r="A270">
        <v>745580.51</v>
      </c>
      <c r="B270">
        <v>56602.39</v>
      </c>
      <c r="C270">
        <v>7969</v>
      </c>
      <c r="D270">
        <v>88.3</v>
      </c>
      <c r="E270">
        <v>3.7</v>
      </c>
      <c r="F270" s="8">
        <v>0</v>
      </c>
      <c r="G270" s="8">
        <v>0</v>
      </c>
      <c r="H270" s="8">
        <v>1</v>
      </c>
    </row>
    <row r="271" spans="1:8">
      <c r="A271">
        <v>762328.31</v>
      </c>
      <c r="B271">
        <v>67722.289999999994</v>
      </c>
      <c r="C271">
        <v>7240</v>
      </c>
      <c r="D271">
        <v>92.9</v>
      </c>
      <c r="E271">
        <v>3.5</v>
      </c>
      <c r="F271" s="8">
        <v>0</v>
      </c>
      <c r="G271" s="8">
        <v>0</v>
      </c>
      <c r="H271" s="8">
        <v>1</v>
      </c>
    </row>
    <row r="272" spans="1:8">
      <c r="A272">
        <v>660633.99</v>
      </c>
      <c r="B272">
        <v>48752.92</v>
      </c>
      <c r="C272">
        <v>8052</v>
      </c>
      <c r="D272">
        <v>94.9</v>
      </c>
      <c r="E272">
        <v>3.6</v>
      </c>
      <c r="F272" s="8">
        <v>0</v>
      </c>
      <c r="G272" s="8">
        <v>0</v>
      </c>
      <c r="H272" s="8">
        <v>1</v>
      </c>
    </row>
    <row r="273" spans="1:8">
      <c r="A273">
        <v>739374.56</v>
      </c>
      <c r="B273">
        <v>23914.97</v>
      </c>
      <c r="C273">
        <v>8018</v>
      </c>
      <c r="D273">
        <v>89</v>
      </c>
      <c r="E273">
        <v>3.5</v>
      </c>
      <c r="F273" s="8">
        <v>0</v>
      </c>
      <c r="G273" s="8">
        <v>0</v>
      </c>
      <c r="H273" s="8">
        <v>1</v>
      </c>
    </row>
    <row r="274" spans="1:8">
      <c r="A274">
        <v>799756.46</v>
      </c>
      <c r="B274">
        <v>61995.3</v>
      </c>
      <c r="C274">
        <v>10192</v>
      </c>
      <c r="D274">
        <v>87.6</v>
      </c>
      <c r="E274">
        <v>3.8</v>
      </c>
      <c r="F274" s="8">
        <v>0</v>
      </c>
      <c r="G274" s="8">
        <v>0</v>
      </c>
      <c r="H274" s="8">
        <v>1</v>
      </c>
    </row>
    <row r="275" spans="1:8">
      <c r="A275">
        <v>593343</v>
      </c>
      <c r="B275">
        <v>29344.93</v>
      </c>
      <c r="C275">
        <v>7446</v>
      </c>
      <c r="D275">
        <v>86.2</v>
      </c>
      <c r="E275">
        <v>3.2</v>
      </c>
      <c r="F275" s="8">
        <v>0</v>
      </c>
      <c r="G275" s="8">
        <v>0</v>
      </c>
      <c r="H275" s="8">
        <v>1</v>
      </c>
    </row>
    <row r="276" spans="1:8">
      <c r="A276">
        <v>645039.97</v>
      </c>
      <c r="B276">
        <v>50532.17</v>
      </c>
      <c r="C276">
        <v>5689</v>
      </c>
      <c r="D276">
        <v>85.6</v>
      </c>
      <c r="E276">
        <v>3.3</v>
      </c>
      <c r="F276" s="8">
        <v>0</v>
      </c>
      <c r="G276" s="8">
        <v>0</v>
      </c>
      <c r="H276" s="8">
        <v>0</v>
      </c>
    </row>
    <row r="277" spans="1:8">
      <c r="A277">
        <v>561597.32999999996</v>
      </c>
      <c r="B277">
        <v>17562.57</v>
      </c>
      <c r="C277">
        <v>3326</v>
      </c>
      <c r="D277">
        <v>88.1</v>
      </c>
      <c r="E277">
        <v>3.1</v>
      </c>
      <c r="F277" s="8">
        <v>0</v>
      </c>
      <c r="G277" s="8">
        <v>0</v>
      </c>
      <c r="H277" s="8">
        <v>0</v>
      </c>
    </row>
    <row r="278" spans="1:8">
      <c r="A278">
        <v>635837.74</v>
      </c>
      <c r="B278">
        <v>47648.71</v>
      </c>
      <c r="C278">
        <v>5767</v>
      </c>
      <c r="D278">
        <v>89.8</v>
      </c>
      <c r="E278">
        <v>3.1</v>
      </c>
      <c r="F278" s="8">
        <v>0</v>
      </c>
      <c r="G278" s="8">
        <v>0</v>
      </c>
      <c r="H278" s="8">
        <v>0</v>
      </c>
    </row>
    <row r="279" spans="1:8">
      <c r="A279">
        <v>686737.87</v>
      </c>
      <c r="B279">
        <v>38297.58</v>
      </c>
      <c r="C279">
        <v>5893</v>
      </c>
      <c r="D279">
        <v>77.599999999999994</v>
      </c>
      <c r="E279">
        <v>3</v>
      </c>
      <c r="F279" s="8">
        <v>0</v>
      </c>
      <c r="G279" s="8">
        <v>0</v>
      </c>
      <c r="H279" s="8">
        <v>0</v>
      </c>
    </row>
    <row r="280" spans="1:8">
      <c r="A280">
        <v>673076.34</v>
      </c>
      <c r="B280">
        <v>61784.11</v>
      </c>
      <c r="C280">
        <v>8564</v>
      </c>
      <c r="D280">
        <v>87.4</v>
      </c>
      <c r="E280">
        <v>3.4</v>
      </c>
      <c r="F280" s="8">
        <v>0</v>
      </c>
      <c r="G280" s="8">
        <v>1</v>
      </c>
      <c r="H280" s="8">
        <v>0</v>
      </c>
    </row>
    <row r="281" spans="1:8">
      <c r="A281">
        <v>738548.42</v>
      </c>
      <c r="B281">
        <v>36832.33</v>
      </c>
      <c r="C281">
        <v>8001</v>
      </c>
      <c r="D281">
        <v>88.7</v>
      </c>
      <c r="E281">
        <v>4</v>
      </c>
      <c r="F281" s="8">
        <v>0</v>
      </c>
      <c r="G281" s="8">
        <v>1</v>
      </c>
      <c r="H281" s="8">
        <v>0</v>
      </c>
    </row>
    <row r="282" spans="1:8">
      <c r="A282">
        <v>756619.77</v>
      </c>
      <c r="B282">
        <v>48609.41</v>
      </c>
      <c r="C282">
        <v>9324</v>
      </c>
      <c r="D282">
        <v>86.5</v>
      </c>
      <c r="E282">
        <v>3.9</v>
      </c>
      <c r="F282" s="8">
        <v>0</v>
      </c>
      <c r="G282" s="8">
        <v>1</v>
      </c>
      <c r="H282" s="8">
        <v>0</v>
      </c>
    </row>
    <row r="283" spans="1:8">
      <c r="A283">
        <v>761122.42</v>
      </c>
      <c r="B283">
        <v>70284.06</v>
      </c>
      <c r="C283">
        <v>9109</v>
      </c>
      <c r="D283">
        <v>87</v>
      </c>
      <c r="E283">
        <v>3.7</v>
      </c>
      <c r="F283" s="8">
        <v>0</v>
      </c>
      <c r="G283" s="8">
        <v>1</v>
      </c>
      <c r="H283" s="8">
        <v>0</v>
      </c>
    </row>
    <row r="284" spans="1:8">
      <c r="A284">
        <v>524899.56999999995</v>
      </c>
      <c r="B284">
        <v>45940.39</v>
      </c>
      <c r="C284">
        <v>4022</v>
      </c>
      <c r="D284">
        <v>83</v>
      </c>
      <c r="E284">
        <v>3.8</v>
      </c>
      <c r="F284" s="8">
        <v>0</v>
      </c>
      <c r="G284" s="8">
        <v>1</v>
      </c>
      <c r="H284" s="8">
        <v>0</v>
      </c>
    </row>
    <row r="285" spans="1:8">
      <c r="A285">
        <v>555557.77</v>
      </c>
      <c r="B285">
        <v>34771.26</v>
      </c>
      <c r="C285">
        <v>4355</v>
      </c>
      <c r="D285">
        <v>87.9</v>
      </c>
      <c r="E285">
        <v>4</v>
      </c>
      <c r="F285" s="8">
        <v>0</v>
      </c>
      <c r="G285" s="8">
        <v>1</v>
      </c>
      <c r="H285" s="8">
        <v>0</v>
      </c>
    </row>
    <row r="286" spans="1:8">
      <c r="A286">
        <v>714083.68</v>
      </c>
      <c r="B286">
        <v>66104.19</v>
      </c>
      <c r="C286">
        <v>5745</v>
      </c>
      <c r="D286">
        <v>95.8</v>
      </c>
      <c r="E286">
        <v>4</v>
      </c>
      <c r="F286" s="8">
        <v>0</v>
      </c>
      <c r="G286" s="8">
        <v>1</v>
      </c>
      <c r="H286" s="8">
        <v>0</v>
      </c>
    </row>
    <row r="287" spans="1:8">
      <c r="A287">
        <v>497439.82</v>
      </c>
      <c r="B287">
        <v>18599.21</v>
      </c>
      <c r="C287">
        <v>3027</v>
      </c>
      <c r="D287">
        <v>80.900000000000006</v>
      </c>
      <c r="E287">
        <v>4.2</v>
      </c>
      <c r="F287" s="8">
        <v>0</v>
      </c>
      <c r="G287" s="8">
        <v>1</v>
      </c>
      <c r="H287" s="8">
        <v>0</v>
      </c>
    </row>
    <row r="288" spans="1:8">
      <c r="A288">
        <v>636775.66</v>
      </c>
      <c r="B288">
        <v>60183.06</v>
      </c>
      <c r="C288">
        <v>5562</v>
      </c>
      <c r="D288">
        <v>86.3</v>
      </c>
      <c r="E288">
        <v>4.5</v>
      </c>
      <c r="F288" s="8">
        <v>0</v>
      </c>
      <c r="G288" s="8">
        <v>0</v>
      </c>
      <c r="H288" s="8">
        <v>0</v>
      </c>
    </row>
    <row r="289" spans="1:8">
      <c r="A289">
        <v>633009.53</v>
      </c>
      <c r="B289">
        <v>74539.14</v>
      </c>
      <c r="C289">
        <v>4487</v>
      </c>
      <c r="D289">
        <v>90.4</v>
      </c>
      <c r="E289">
        <v>4.5</v>
      </c>
      <c r="F289" s="8">
        <v>0</v>
      </c>
      <c r="G289" s="8">
        <v>0</v>
      </c>
      <c r="H289" s="8">
        <v>0</v>
      </c>
    </row>
    <row r="290" spans="1:8">
      <c r="A290">
        <v>609949</v>
      </c>
      <c r="B290">
        <v>55371.97</v>
      </c>
      <c r="C290">
        <v>4162</v>
      </c>
      <c r="D290">
        <v>92</v>
      </c>
      <c r="E290">
        <v>4.2</v>
      </c>
      <c r="F290" s="8">
        <v>0</v>
      </c>
      <c r="G290" s="8">
        <v>0</v>
      </c>
      <c r="H290" s="8">
        <v>0</v>
      </c>
    </row>
    <row r="291" spans="1:8">
      <c r="A291">
        <v>548103.69999999995</v>
      </c>
      <c r="B291">
        <v>40928.69</v>
      </c>
      <c r="C291">
        <v>4094</v>
      </c>
      <c r="D291">
        <v>82.4</v>
      </c>
      <c r="E291">
        <v>4.8</v>
      </c>
      <c r="F291" s="8">
        <v>0</v>
      </c>
      <c r="G291" s="8">
        <v>0</v>
      </c>
      <c r="H291" s="8">
        <v>0</v>
      </c>
    </row>
    <row r="292" spans="1:8">
      <c r="A292">
        <v>729424.42</v>
      </c>
      <c r="B292">
        <v>70012.41</v>
      </c>
      <c r="C292">
        <v>8484</v>
      </c>
      <c r="D292">
        <v>72.900000000000006</v>
      </c>
      <c r="E292">
        <v>3.7</v>
      </c>
      <c r="F292" s="8">
        <v>0</v>
      </c>
      <c r="G292" s="8">
        <v>0</v>
      </c>
      <c r="H292" s="8">
        <v>1</v>
      </c>
    </row>
    <row r="293" spans="1:8">
      <c r="A293">
        <v>696261.49</v>
      </c>
      <c r="B293">
        <v>68909.259999999995</v>
      </c>
      <c r="C293">
        <v>7794</v>
      </c>
      <c r="D293">
        <v>89</v>
      </c>
      <c r="E293">
        <v>4</v>
      </c>
      <c r="F293" s="8">
        <v>0</v>
      </c>
      <c r="G293" s="8">
        <v>0</v>
      </c>
      <c r="H293" s="8">
        <v>1</v>
      </c>
    </row>
    <row r="294" spans="1:8">
      <c r="A294">
        <v>813316.71</v>
      </c>
      <c r="B294">
        <v>56737.3</v>
      </c>
      <c r="C294">
        <v>8300</v>
      </c>
      <c r="D294">
        <v>83.2</v>
      </c>
      <c r="E294">
        <v>4.3</v>
      </c>
      <c r="F294" s="8">
        <v>0</v>
      </c>
      <c r="G294" s="8">
        <v>0</v>
      </c>
      <c r="H294" s="8">
        <v>1</v>
      </c>
    </row>
    <row r="295" spans="1:8">
      <c r="A295">
        <v>702068.92</v>
      </c>
      <c r="B295">
        <v>54080.91</v>
      </c>
      <c r="C295">
        <v>7083</v>
      </c>
      <c r="D295">
        <v>97</v>
      </c>
      <c r="E295">
        <v>4.0999999999999996</v>
      </c>
      <c r="F295" s="8">
        <v>0</v>
      </c>
      <c r="G295" s="8">
        <v>0</v>
      </c>
      <c r="H295" s="8">
        <v>1</v>
      </c>
    </row>
    <row r="296" spans="1:8">
      <c r="A296">
        <v>546223.69999999995</v>
      </c>
      <c r="B296">
        <v>51996.32</v>
      </c>
      <c r="C296">
        <v>3834</v>
      </c>
      <c r="D296">
        <v>86.7</v>
      </c>
      <c r="E296">
        <v>4.5</v>
      </c>
      <c r="F296" s="8">
        <v>0</v>
      </c>
      <c r="G296" s="8">
        <v>0</v>
      </c>
      <c r="H296" s="8">
        <v>0</v>
      </c>
    </row>
    <row r="297" spans="1:8">
      <c r="A297">
        <v>533121.26</v>
      </c>
      <c r="B297">
        <v>40102.879999999997</v>
      </c>
      <c r="C297">
        <v>2358</v>
      </c>
      <c r="D297">
        <v>88.7</v>
      </c>
      <c r="E297">
        <v>4.2</v>
      </c>
      <c r="F297" s="8">
        <v>0</v>
      </c>
      <c r="G297" s="8">
        <v>0</v>
      </c>
      <c r="H297" s="8">
        <v>0</v>
      </c>
    </row>
    <row r="298" spans="1:8">
      <c r="A298">
        <v>498970.32</v>
      </c>
      <c r="B298">
        <v>59825.51</v>
      </c>
      <c r="C298">
        <v>1231</v>
      </c>
      <c r="D298">
        <v>84.8</v>
      </c>
      <c r="E298">
        <v>4.7</v>
      </c>
      <c r="F298" s="8">
        <v>0</v>
      </c>
      <c r="G298" s="8">
        <v>0</v>
      </c>
      <c r="H298" s="8">
        <v>0</v>
      </c>
    </row>
    <row r="299" spans="1:8">
      <c r="A299">
        <v>487738.26</v>
      </c>
      <c r="B299">
        <v>27398.28</v>
      </c>
      <c r="C299">
        <v>1723</v>
      </c>
      <c r="D299">
        <v>81</v>
      </c>
      <c r="E299">
        <v>4.5999999999999996</v>
      </c>
      <c r="F299" s="8">
        <v>0</v>
      </c>
      <c r="G299" s="8">
        <v>0</v>
      </c>
      <c r="H299" s="8">
        <v>0</v>
      </c>
    </row>
    <row r="300" spans="1:8">
      <c r="A300">
        <v>668459.37</v>
      </c>
      <c r="B300">
        <v>55599.56</v>
      </c>
      <c r="C300">
        <v>5896</v>
      </c>
      <c r="D300">
        <v>93.1</v>
      </c>
      <c r="E300">
        <v>3.3</v>
      </c>
      <c r="F300" s="8">
        <v>0</v>
      </c>
      <c r="G300" s="8">
        <v>0</v>
      </c>
      <c r="H300" s="8">
        <v>0</v>
      </c>
    </row>
    <row r="301" spans="1:8">
      <c r="A301">
        <v>763162.45</v>
      </c>
      <c r="B301">
        <v>55477.61</v>
      </c>
      <c r="C301">
        <v>5903</v>
      </c>
      <c r="D301">
        <v>96.2</v>
      </c>
      <c r="E301">
        <v>3.3</v>
      </c>
      <c r="F301" s="8">
        <v>0</v>
      </c>
      <c r="G301" s="8">
        <v>0</v>
      </c>
      <c r="H301" s="8">
        <v>0</v>
      </c>
    </row>
    <row r="302" spans="1:8">
      <c r="A302">
        <v>599017.32999999996</v>
      </c>
      <c r="B302">
        <v>46174.7</v>
      </c>
      <c r="C302">
        <v>4898</v>
      </c>
      <c r="D302">
        <v>91.7</v>
      </c>
      <c r="E302">
        <v>3.1</v>
      </c>
      <c r="F302" s="8">
        <v>0</v>
      </c>
      <c r="G302" s="8">
        <v>0</v>
      </c>
      <c r="H302" s="8">
        <v>0</v>
      </c>
    </row>
    <row r="303" spans="1:8">
      <c r="A303">
        <v>401582.58</v>
      </c>
      <c r="B303">
        <v>24362.98</v>
      </c>
      <c r="C303">
        <v>1462</v>
      </c>
      <c r="D303">
        <v>89.3</v>
      </c>
      <c r="E303">
        <v>3.2</v>
      </c>
      <c r="F303" s="8">
        <v>0</v>
      </c>
      <c r="G303" s="8">
        <v>0</v>
      </c>
      <c r="H303" s="8">
        <v>0</v>
      </c>
    </row>
    <row r="304" spans="1:8">
      <c r="A304">
        <v>703812.99</v>
      </c>
      <c r="B304">
        <v>40647.67</v>
      </c>
      <c r="C304">
        <v>8252</v>
      </c>
      <c r="D304">
        <v>88.2</v>
      </c>
      <c r="E304">
        <v>4.0999999999999996</v>
      </c>
      <c r="F304" s="8">
        <v>1</v>
      </c>
      <c r="G304" s="8">
        <v>0</v>
      </c>
      <c r="H304" s="8">
        <v>0</v>
      </c>
    </row>
    <row r="305" spans="1:8">
      <c r="A305">
        <v>724346.73</v>
      </c>
      <c r="B305">
        <v>63986.98</v>
      </c>
      <c r="C305">
        <v>7989</v>
      </c>
      <c r="D305">
        <v>83.3</v>
      </c>
      <c r="E305">
        <v>3.7</v>
      </c>
      <c r="F305" s="8">
        <v>1</v>
      </c>
      <c r="G305" s="8">
        <v>0</v>
      </c>
      <c r="H305" s="8">
        <v>0</v>
      </c>
    </row>
    <row r="306" spans="1:8">
      <c r="A306">
        <v>730890.01</v>
      </c>
      <c r="B306">
        <v>52843.75</v>
      </c>
      <c r="C306">
        <v>8268</v>
      </c>
      <c r="D306">
        <v>87.3</v>
      </c>
      <c r="E306">
        <v>4.7</v>
      </c>
      <c r="F306" s="8">
        <v>1</v>
      </c>
      <c r="G306" s="8">
        <v>0</v>
      </c>
      <c r="H306" s="8">
        <v>0</v>
      </c>
    </row>
    <row r="307" spans="1:8">
      <c r="A307">
        <v>780580.95</v>
      </c>
      <c r="B307">
        <v>31997.25</v>
      </c>
      <c r="C307">
        <v>8183</v>
      </c>
      <c r="D307">
        <v>93</v>
      </c>
      <c r="E307">
        <v>4.2</v>
      </c>
      <c r="F307" s="8">
        <v>1</v>
      </c>
      <c r="G307" s="8">
        <v>0</v>
      </c>
      <c r="H307" s="8">
        <v>0</v>
      </c>
    </row>
    <row r="308" spans="1:8">
      <c r="A308">
        <v>727957.48</v>
      </c>
      <c r="B308">
        <v>54948.02</v>
      </c>
      <c r="C308">
        <v>6534</v>
      </c>
      <c r="D308">
        <v>94.5</v>
      </c>
      <c r="E308">
        <v>4</v>
      </c>
      <c r="F308" s="8">
        <v>0</v>
      </c>
      <c r="G308" s="8">
        <v>1</v>
      </c>
      <c r="H308" s="8">
        <v>0</v>
      </c>
    </row>
    <row r="309" spans="1:8">
      <c r="A309">
        <v>538376</v>
      </c>
      <c r="B309">
        <v>46146.239999999998</v>
      </c>
      <c r="C309">
        <v>5804</v>
      </c>
      <c r="D309">
        <v>86.9</v>
      </c>
      <c r="E309">
        <v>3.8</v>
      </c>
      <c r="F309" s="8">
        <v>0</v>
      </c>
      <c r="G309" s="8">
        <v>1</v>
      </c>
      <c r="H309" s="8">
        <v>0</v>
      </c>
    </row>
    <row r="310" spans="1:8">
      <c r="A310">
        <v>665342.49</v>
      </c>
      <c r="B310">
        <v>22387.26</v>
      </c>
      <c r="C310">
        <v>6301</v>
      </c>
      <c r="D310">
        <v>85.9</v>
      </c>
      <c r="E310">
        <v>3.7</v>
      </c>
      <c r="F310" s="8">
        <v>0</v>
      </c>
      <c r="G310" s="8">
        <v>1</v>
      </c>
      <c r="H310" s="8">
        <v>0</v>
      </c>
    </row>
    <row r="311" spans="1:8">
      <c r="A311">
        <v>651164.18000000005</v>
      </c>
      <c r="B311">
        <v>60684.05</v>
      </c>
      <c r="C311">
        <v>6399</v>
      </c>
      <c r="D311">
        <v>99</v>
      </c>
      <c r="E311">
        <v>3.5</v>
      </c>
      <c r="F311" s="8">
        <v>0</v>
      </c>
      <c r="G311" s="8">
        <v>1</v>
      </c>
      <c r="H311" s="8">
        <v>0</v>
      </c>
    </row>
    <row r="312" spans="1:8">
      <c r="A312">
        <v>628538.30000000005</v>
      </c>
      <c r="B312">
        <v>48465.599999999999</v>
      </c>
      <c r="C312">
        <v>5759</v>
      </c>
      <c r="D312">
        <v>87.5</v>
      </c>
      <c r="E312">
        <v>4</v>
      </c>
      <c r="F312" s="8">
        <v>0</v>
      </c>
      <c r="G312" s="8">
        <v>1</v>
      </c>
      <c r="H312" s="8">
        <v>0</v>
      </c>
    </row>
    <row r="313" spans="1:8">
      <c r="A313">
        <v>536524.84</v>
      </c>
      <c r="B313">
        <v>23702.38</v>
      </c>
      <c r="C313">
        <v>5285</v>
      </c>
      <c r="D313">
        <v>79.7</v>
      </c>
      <c r="E313">
        <v>4.3</v>
      </c>
      <c r="F313" s="8">
        <v>0</v>
      </c>
      <c r="G313" s="8">
        <v>1</v>
      </c>
      <c r="H313" s="8">
        <v>0</v>
      </c>
    </row>
    <row r="314" spans="1:8">
      <c r="A314">
        <v>621677.30000000005</v>
      </c>
      <c r="B314">
        <v>54322.94</v>
      </c>
      <c r="C314">
        <v>5434</v>
      </c>
      <c r="D314">
        <v>85.7</v>
      </c>
      <c r="E314">
        <v>4.2</v>
      </c>
      <c r="F314" s="8">
        <v>0</v>
      </c>
      <c r="G314" s="8">
        <v>1</v>
      </c>
      <c r="H314" s="8">
        <v>0</v>
      </c>
    </row>
    <row r="315" spans="1:8">
      <c r="A315">
        <v>771129.07</v>
      </c>
      <c r="B315">
        <v>86026.58</v>
      </c>
      <c r="C315">
        <v>7479</v>
      </c>
      <c r="D315">
        <v>89</v>
      </c>
      <c r="E315">
        <v>3.92</v>
      </c>
      <c r="F315" s="8">
        <v>0</v>
      </c>
      <c r="G315" s="8">
        <v>1</v>
      </c>
      <c r="H315" s="8">
        <v>0</v>
      </c>
    </row>
    <row r="316" spans="1:8">
      <c r="A316">
        <v>702052.47</v>
      </c>
      <c r="B316">
        <v>78967.520000000004</v>
      </c>
      <c r="C316">
        <v>6164</v>
      </c>
      <c r="D316">
        <v>85.5</v>
      </c>
      <c r="E316">
        <v>3.4</v>
      </c>
      <c r="F316" s="8">
        <v>1</v>
      </c>
      <c r="G316" s="8">
        <v>0</v>
      </c>
      <c r="H316" s="8">
        <v>0</v>
      </c>
    </row>
    <row r="317" spans="1:8">
      <c r="A317">
        <v>688368.46</v>
      </c>
      <c r="B317">
        <v>46767.99</v>
      </c>
      <c r="C317">
        <v>7973</v>
      </c>
      <c r="D317">
        <v>94.8</v>
      </c>
      <c r="E317">
        <v>3.92</v>
      </c>
      <c r="F317" s="8">
        <v>1</v>
      </c>
      <c r="G317" s="8">
        <v>0</v>
      </c>
      <c r="H317" s="8">
        <v>0</v>
      </c>
    </row>
    <row r="318" spans="1:8">
      <c r="A318">
        <v>712375.77</v>
      </c>
      <c r="B318">
        <v>62507.16</v>
      </c>
      <c r="C318">
        <v>6000</v>
      </c>
      <c r="D318">
        <v>98.2</v>
      </c>
      <c r="E318">
        <v>3.9</v>
      </c>
      <c r="F318" s="8">
        <v>1</v>
      </c>
      <c r="G318" s="8">
        <v>0</v>
      </c>
      <c r="H318" s="8">
        <v>0</v>
      </c>
    </row>
    <row r="319" spans="1:8">
      <c r="A319">
        <v>844710.67</v>
      </c>
      <c r="B319">
        <v>66456.28</v>
      </c>
      <c r="C319">
        <v>9967</v>
      </c>
      <c r="D319">
        <v>94.7</v>
      </c>
      <c r="E319">
        <v>4.2</v>
      </c>
      <c r="F319" s="8">
        <v>1</v>
      </c>
      <c r="G319" s="8">
        <v>0</v>
      </c>
      <c r="H319" s="8">
        <v>0</v>
      </c>
    </row>
    <row r="320" spans="1:8">
      <c r="A320">
        <v>620264.19999999995</v>
      </c>
      <c r="B320">
        <v>76614.320000000007</v>
      </c>
      <c r="C320">
        <v>5639</v>
      </c>
      <c r="D320">
        <v>92.9</v>
      </c>
      <c r="E320">
        <v>4</v>
      </c>
      <c r="F320" s="8">
        <v>0</v>
      </c>
      <c r="G320" s="8">
        <v>0</v>
      </c>
      <c r="H320" s="8">
        <v>1</v>
      </c>
    </row>
    <row r="321" spans="1:8">
      <c r="A321">
        <v>536845.42000000004</v>
      </c>
      <c r="B321">
        <v>24088.06</v>
      </c>
      <c r="C321">
        <v>3466</v>
      </c>
      <c r="D321">
        <v>88</v>
      </c>
      <c r="E321">
        <v>3.8</v>
      </c>
      <c r="F321" s="8">
        <v>0</v>
      </c>
      <c r="G321" s="8">
        <v>0</v>
      </c>
      <c r="H321" s="8">
        <v>1</v>
      </c>
    </row>
    <row r="322" spans="1:8">
      <c r="A322">
        <v>726776.22</v>
      </c>
      <c r="B322">
        <v>81902.58</v>
      </c>
      <c r="C322">
        <v>7775</v>
      </c>
      <c r="D322">
        <v>85.2</v>
      </c>
      <c r="E322">
        <v>4.2</v>
      </c>
      <c r="F322" s="8">
        <v>0</v>
      </c>
      <c r="G322" s="8">
        <v>0</v>
      </c>
      <c r="H322" s="8">
        <v>1</v>
      </c>
    </row>
    <row r="323" spans="1:8">
      <c r="A323">
        <v>559660.84</v>
      </c>
      <c r="B323">
        <v>40553.11</v>
      </c>
      <c r="C323">
        <v>5317</v>
      </c>
      <c r="D323">
        <v>84.3</v>
      </c>
      <c r="E323">
        <v>4.0999999999999996</v>
      </c>
      <c r="F323" s="8">
        <v>0</v>
      </c>
      <c r="G323" s="8">
        <v>0</v>
      </c>
      <c r="H323" s="8">
        <v>1</v>
      </c>
    </row>
    <row r="324" spans="1:8">
      <c r="E324">
        <f t="shared" ref="E324" si="0">COUNTBLANK(E4:E323)</f>
        <v>0</v>
      </c>
    </row>
  </sheetData>
  <mergeCells count="2">
    <mergeCell ref="A1:H1"/>
    <mergeCell ref="J7:N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0FA0-3EE1-4095-AA4E-B37795B69DF4}">
  <dimension ref="A1:K324"/>
  <sheetViews>
    <sheetView tabSelected="1" zoomScale="70" zoomScaleNormal="70" workbookViewId="0">
      <selection activeCell="E24" sqref="E24:K34"/>
    </sheetView>
  </sheetViews>
  <sheetFormatPr defaultRowHeight="14.4"/>
  <cols>
    <col min="1" max="1" width="11.21875" bestFit="1" customWidth="1"/>
    <col min="2" max="2" width="13.88671875" bestFit="1" customWidth="1"/>
    <col min="6" max="6" width="10.6640625" bestFit="1" customWidth="1"/>
    <col min="7" max="7" width="13.33203125" bestFit="1" customWidth="1"/>
  </cols>
  <sheetData>
    <row r="1" spans="1:10">
      <c r="A1" s="25" t="s">
        <v>141</v>
      </c>
      <c r="B1" s="26"/>
      <c r="C1" s="26"/>
    </row>
    <row r="2" spans="1:10">
      <c r="A2" s="26"/>
      <c r="B2" s="26"/>
      <c r="C2" s="26"/>
    </row>
    <row r="3" spans="1:10">
      <c r="F3" s="33" t="s">
        <v>144</v>
      </c>
      <c r="G3" s="33"/>
      <c r="H3" s="33"/>
    </row>
    <row r="4" spans="1:10">
      <c r="A4" s="18" t="s">
        <v>129</v>
      </c>
      <c r="B4" s="18" t="s">
        <v>130</v>
      </c>
      <c r="C4" s="18" t="s">
        <v>114</v>
      </c>
      <c r="F4" s="33"/>
      <c r="G4" s="33"/>
      <c r="H4" s="33"/>
      <c r="I4" s="32"/>
      <c r="J4" s="32"/>
    </row>
    <row r="5" spans="1:10">
      <c r="A5">
        <v>685379.08</v>
      </c>
      <c r="B5">
        <f>98015.50529
+(1.202273376*Cleaned_Data!E68)
+(33.98425653*Cleaned_Data!F68)
+(2886.7347*Cleaned_Data!I68)
+(11024.99051*Cleaned_Data!L68)
+(-8375.710551*Cleaned_Data!O68)
+(4929.586703*Cleaned_Data!P68)
+(-17042.83335*Cleaned_Data!Q68)</f>
        <v>841678.33561227354</v>
      </c>
      <c r="C5" s="28">
        <f>A5-B5</f>
        <v>-156299.25561227358</v>
      </c>
      <c r="F5" s="29" t="s">
        <v>142</v>
      </c>
      <c r="G5" s="29" t="s">
        <v>143</v>
      </c>
      <c r="H5" s="29" t="s">
        <v>114</v>
      </c>
      <c r="I5" s="31"/>
      <c r="J5" s="31"/>
    </row>
    <row r="6" spans="1:10">
      <c r="A6">
        <v>595467.6</v>
      </c>
      <c r="B6">
        <f>98015.50529
+(1.202273376*Cleaned_Data!E46)
+(33.98425653*Cleaned_Data!F46)
+(2886.7347*Cleaned_Data!I46)
+(11024.99051*Cleaned_Data!L46)
+(-8375.710551*Cleaned_Data!O46)
+(4929.586703*Cleaned_Data!P46)
+(-17042.83335*Cleaned_Data!Q46)</f>
        <v>729696.75809275184</v>
      </c>
      <c r="C6" s="28">
        <f>A6-B6</f>
        <v>-134229.15809275187</v>
      </c>
      <c r="F6" s="30">
        <v>799046.94</v>
      </c>
      <c r="G6" s="30">
        <v>706026.95810000005</v>
      </c>
      <c r="H6" s="36">
        <v>93019.98</v>
      </c>
      <c r="I6" s="31"/>
      <c r="J6" s="31"/>
    </row>
    <row r="7" spans="1:10">
      <c r="A7">
        <v>627171.9</v>
      </c>
      <c r="B7">
        <f>98015.50529
+(1.202273376*Cleaned_Data!E91)
+(33.98425653*Cleaned_Data!F91)
+(2886.7347*Cleaned_Data!I91)
+(11024.99051*Cleaned_Data!L91)
+(-8375.710551*Cleaned_Data!O91)
+(4929.586703*Cleaned_Data!P91)
+(-17042.83335*Cleaned_Data!Q91)</f>
        <v>757388.57574831904</v>
      </c>
      <c r="C7" s="28">
        <f>A7-B7</f>
        <v>-130216.67574831902</v>
      </c>
      <c r="F7" s="30">
        <v>813316.71</v>
      </c>
      <c r="G7" s="30">
        <v>718839.53260000004</v>
      </c>
      <c r="H7" s="36">
        <v>94477.18</v>
      </c>
      <c r="I7" s="31"/>
      <c r="J7" s="31"/>
    </row>
    <row r="8" spans="1:10">
      <c r="A8">
        <v>641865.03</v>
      </c>
      <c r="B8">
        <f>98015.50529
+(1.202273376*Cleaned_Data!E34)
+(33.98425653*Cleaned_Data!F34)
+(2886.7347*Cleaned_Data!I34)
+(11024.99051*Cleaned_Data!L34)
+(-8375.710551*Cleaned_Data!O34)
+(4929.586703*Cleaned_Data!P34)
+(-17042.83335*Cleaned_Data!Q34)</f>
        <v>762488.82760874415</v>
      </c>
      <c r="C8" s="28">
        <f>A8-B8</f>
        <v>-120623.79760874412</v>
      </c>
      <c r="F8" s="30">
        <v>787715.51</v>
      </c>
      <c r="G8" s="30">
        <v>687127.0246</v>
      </c>
      <c r="H8" s="36">
        <v>100588.5</v>
      </c>
      <c r="I8" s="31"/>
      <c r="J8" s="31"/>
    </row>
    <row r="9" spans="1:10">
      <c r="A9">
        <v>538376</v>
      </c>
      <c r="B9">
        <f>98015.50529
+(1.202273376*Cleaned_Data!E307)
+(33.98425653*Cleaned_Data!F307)
+(2886.7347*Cleaned_Data!I307)
+(11024.99051*Cleaned_Data!L307)
+(-8375.710551*Cleaned_Data!O307)
+(4929.586703*Cleaned_Data!P307)
+(-17042.83335*Cleaned_Data!Q307)</f>
        <v>648422.32201562636</v>
      </c>
      <c r="C9" s="28">
        <f>A9-B9</f>
        <v>-110046.32201562636</v>
      </c>
      <c r="F9" s="30">
        <v>625514.04</v>
      </c>
      <c r="G9" s="30">
        <v>522797.20779999997</v>
      </c>
      <c r="H9" s="36">
        <v>102716.8</v>
      </c>
      <c r="I9" s="31"/>
      <c r="J9" s="31"/>
    </row>
    <row r="10" spans="1:10">
      <c r="A10">
        <v>415721.82</v>
      </c>
      <c r="B10">
        <f>98015.50529
+(1.202273376*Cleaned_Data!E22)
+(33.98425653*Cleaned_Data!F22)
+(2886.7347*Cleaned_Data!I22)
+(11024.99051*Cleaned_Data!L22)
+(-8375.710551*Cleaned_Data!O22)
+(4929.586703*Cleaned_Data!P22)
+(-17042.83335*Cleaned_Data!Q22)</f>
        <v>521959.96901506133</v>
      </c>
      <c r="C10" s="28">
        <f>A10-B10</f>
        <v>-106238.14901506132</v>
      </c>
      <c r="F10" s="30">
        <v>713611.16</v>
      </c>
      <c r="G10" s="30">
        <v>585781.29579999996</v>
      </c>
      <c r="H10" s="36">
        <v>127829.9</v>
      </c>
      <c r="I10" s="31"/>
      <c r="J10" s="31"/>
    </row>
    <row r="11" spans="1:10">
      <c r="A11">
        <v>800451.94</v>
      </c>
      <c r="B11">
        <f>98015.50529
+(1.202273376*Cleaned_Data!E27)
+(33.98425653*Cleaned_Data!F27)
+(2886.7347*Cleaned_Data!I27)
+(11024.99051*Cleaned_Data!L27)
+(-8375.710551*Cleaned_Data!O27)
+(4929.586703*Cleaned_Data!P27)
+(-17042.83335*Cleaned_Data!Q27)</f>
        <v>900517.54676750558</v>
      </c>
      <c r="C11" s="28">
        <f>A11-B11</f>
        <v>-100065.60676750564</v>
      </c>
    </row>
    <row r="12" spans="1:10">
      <c r="A12">
        <v>658920.30000000005</v>
      </c>
      <c r="B12">
        <f>98015.50529
+(1.202273376*Cleaned_Data!E5)
+(33.98425653*Cleaned_Data!F5)
+(2886.7347*Cleaned_Data!I5)
+(11024.99051*Cleaned_Data!L5)
+(-8375.710551*Cleaned_Data!O5)
+(4929.586703*Cleaned_Data!P5)
+(-17042.83335*Cleaned_Data!Q5)</f>
        <v>758177.62093651295</v>
      </c>
      <c r="C12" s="28">
        <f>A12-B12</f>
        <v>-99257.320936512901</v>
      </c>
    </row>
    <row r="13" spans="1:10">
      <c r="A13">
        <v>463534.25</v>
      </c>
      <c r="B13">
        <f>98015.50529
+(1.202273376*Cleaned_Data!E54)
+(33.98425653*Cleaned_Data!F54)
+(2886.7347*Cleaned_Data!I54)
+(11024.99051*Cleaned_Data!L54)
+(-8375.710551*Cleaned_Data!O54)
+(4929.586703*Cleaned_Data!P54)
+(-17042.83335*Cleaned_Data!Q54)</f>
        <v>559538.15672526299</v>
      </c>
      <c r="C13" s="28">
        <f>A13-B13</f>
        <v>-96003.90672526299</v>
      </c>
    </row>
    <row r="14" spans="1:10">
      <c r="A14">
        <v>449465.06</v>
      </c>
      <c r="B14">
        <f>98015.50529
+(1.202273376*Cleaned_Data!E197)
+(33.98425653*Cleaned_Data!F197)
+(2886.7347*Cleaned_Data!I197)
+(11024.99051*Cleaned_Data!L197)
+(-8375.710551*Cleaned_Data!O197)
+(4929.586703*Cleaned_Data!P197)
+(-17042.83335*Cleaned_Data!Q197)</f>
        <v>544385.12716974271</v>
      </c>
      <c r="C14" s="28">
        <f>A14-B14</f>
        <v>-94920.067169742717</v>
      </c>
      <c r="F14" s="34" t="s">
        <v>145</v>
      </c>
      <c r="G14" s="35"/>
      <c r="H14" s="35"/>
    </row>
    <row r="15" spans="1:10">
      <c r="A15">
        <v>633638.03</v>
      </c>
      <c r="B15">
        <f>98015.50529
+(1.202273376*Cleaned_Data!E138)
+(33.98425653*Cleaned_Data!F138)
+(2886.7347*Cleaned_Data!I138)
+(11024.99051*Cleaned_Data!L138)
+(-8375.710551*Cleaned_Data!O138)
+(4929.586703*Cleaned_Data!P138)
+(-17042.83335*Cleaned_Data!Q138)</f>
        <v>725431.78104758821</v>
      </c>
      <c r="C15" s="28">
        <f>A15-B15</f>
        <v>-91793.751047588186</v>
      </c>
      <c r="F15" s="35"/>
      <c r="G15" s="35"/>
      <c r="H15" s="35"/>
    </row>
    <row r="16" spans="1:10">
      <c r="A16">
        <v>673076.34</v>
      </c>
      <c r="B16">
        <f>98015.50529
+(1.202273376*Cleaned_Data!E278)
+(33.98425653*Cleaned_Data!F278)
+(2886.7347*Cleaned_Data!I278)
+(11024.99051*Cleaned_Data!L278)
+(-8375.710551*Cleaned_Data!O278)
+(4929.586703*Cleaned_Data!P278)
+(-17042.83335*Cleaned_Data!Q278)</f>
        <v>758053.23594277538</v>
      </c>
      <c r="C16" s="28">
        <f>A16-B16</f>
        <v>-84976.895942775416</v>
      </c>
      <c r="F16" s="29" t="s">
        <v>142</v>
      </c>
      <c r="G16" s="29" t="s">
        <v>143</v>
      </c>
      <c r="H16" s="29" t="s">
        <v>114</v>
      </c>
    </row>
    <row r="17" spans="1:11">
      <c r="A17">
        <v>684217.32</v>
      </c>
      <c r="B17">
        <f>98015.50529
+(1.202273376*Cleaned_Data!E120)
+(33.98425653*Cleaned_Data!F120)
+(2886.7347*Cleaned_Data!I120)
+(11024.99051*Cleaned_Data!L120)
+(-8375.710551*Cleaned_Data!O120)
+(4929.586703*Cleaned_Data!P120)
+(-17042.83335*Cleaned_Data!Q120)</f>
        <v>768435.36249088671</v>
      </c>
      <c r="C17" s="28">
        <f>A17-B17</f>
        <v>-84218.042490886757</v>
      </c>
      <c r="F17" s="37">
        <v>685379.08</v>
      </c>
      <c r="G17" s="37">
        <v>841678.33559999999</v>
      </c>
      <c r="H17" s="37">
        <f>F17-G17</f>
        <v>-156299.25560000003</v>
      </c>
    </row>
    <row r="18" spans="1:11">
      <c r="A18">
        <v>593637.14</v>
      </c>
      <c r="B18">
        <f>98015.50529
+(1.202273376*Cleaned_Data!E171)
+(33.98425653*Cleaned_Data!F171)
+(2886.7347*Cleaned_Data!I171)
+(11024.99051*Cleaned_Data!L171)
+(-8375.710551*Cleaned_Data!O171)
+(4929.586703*Cleaned_Data!P171)
+(-17042.83335*Cleaned_Data!Q171)</f>
        <v>675812.76135008456</v>
      </c>
      <c r="C18" s="28">
        <f>A18-B18</f>
        <v>-82175.621350084548</v>
      </c>
      <c r="F18" s="37">
        <v>595467.6</v>
      </c>
      <c r="G18" s="37">
        <v>729696.75809999998</v>
      </c>
      <c r="H18" s="37">
        <f>F18-G18</f>
        <v>-134229.1581</v>
      </c>
    </row>
    <row r="19" spans="1:11">
      <c r="A19">
        <v>678722.06</v>
      </c>
      <c r="B19">
        <f>98015.50529
+(1.202273376*Cleaned_Data!E4)
+(33.98425653*Cleaned_Data!F4)
+(2886.7347*Cleaned_Data!I4)
+(11024.99051*Cleaned_Data!L4)
+(-8375.710551*Cleaned_Data!O4)
+(4929.586703*Cleaned_Data!P4)
+(-17042.83335*Cleaned_Data!Q4)</f>
        <v>752026.14959821803</v>
      </c>
      <c r="C19" s="28">
        <f>A19-B19</f>
        <v>-73304.089598217979</v>
      </c>
      <c r="F19" s="37">
        <v>627171.9</v>
      </c>
      <c r="G19" s="37">
        <v>757388.57570000004</v>
      </c>
      <c r="H19" s="37">
        <f>F19-G19</f>
        <v>-130216.67570000002</v>
      </c>
    </row>
    <row r="20" spans="1:11">
      <c r="A20">
        <v>511844.41</v>
      </c>
      <c r="B20">
        <f>98015.50529
+(1.202273376*Cleaned_Data!E30)
+(33.98425653*Cleaned_Data!F30)
+(2886.7347*Cleaned_Data!I30)
+(11024.99051*Cleaned_Data!L30)
+(-8375.710551*Cleaned_Data!O30)
+(4929.586703*Cleaned_Data!P30)
+(-17042.83335*Cleaned_Data!Q30)</f>
        <v>584041.00132073322</v>
      </c>
      <c r="C20" s="28">
        <f>A20-B20</f>
        <v>-72196.591320733249</v>
      </c>
      <c r="F20" s="37">
        <v>641865.03</v>
      </c>
      <c r="G20" s="37">
        <v>762488.82759999996</v>
      </c>
      <c r="H20" s="37">
        <f>F20-G20</f>
        <v>-120623.79759999993</v>
      </c>
    </row>
    <row r="21" spans="1:11">
      <c r="A21">
        <v>427917.38</v>
      </c>
      <c r="B21">
        <f>98015.50529
+(1.202273376*Cleaned_Data!E33)
+(33.98425653*Cleaned_Data!F33)
+(2886.7347*Cleaned_Data!I33)
+(11024.99051*Cleaned_Data!L33)
+(-8375.710551*Cleaned_Data!O33)
+(4929.586703*Cleaned_Data!P33)
+(-17042.83335*Cleaned_Data!Q33)</f>
        <v>497117.13921112753</v>
      </c>
      <c r="C21" s="28">
        <f>A21-B21</f>
        <v>-69199.75921112753</v>
      </c>
      <c r="F21" s="37">
        <v>538376</v>
      </c>
      <c r="G21" s="37">
        <v>648422.32200000004</v>
      </c>
      <c r="H21" s="37">
        <f>F21-G21</f>
        <v>-110046.32200000004</v>
      </c>
    </row>
    <row r="22" spans="1:11">
      <c r="A22">
        <v>401582.58</v>
      </c>
      <c r="B22">
        <f>98015.50529
+(1.202273376*Cleaned_Data!E301)
+(33.98425653*Cleaned_Data!F301)
+(2886.7347*Cleaned_Data!I301)
+(11024.99051*Cleaned_Data!L301)
+(-8375.710551*Cleaned_Data!O301)
+(4929.586703*Cleaned_Data!P301)
+(-17042.83335*Cleaned_Data!Q301)</f>
        <v>470056.82889288053</v>
      </c>
      <c r="C22" s="28">
        <f>A22-B22</f>
        <v>-68474.248892880511</v>
      </c>
    </row>
    <row r="23" spans="1:11">
      <c r="A23">
        <v>721079.35</v>
      </c>
      <c r="B23">
        <f>98015.50529
+(1.202273376*Cleaned_Data!E238)
+(33.98425653*Cleaned_Data!F238)
+(2886.7347*Cleaned_Data!I238)
+(11024.99051*Cleaned_Data!L238)
+(-8375.710551*Cleaned_Data!O238)
+(4929.586703*Cleaned_Data!P238)
+(-17042.83335*Cleaned_Data!Q238)</f>
        <v>789498.24758271046</v>
      </c>
      <c r="C23" s="28">
        <f>A23-B23</f>
        <v>-68418.897582710488</v>
      </c>
    </row>
    <row r="24" spans="1:11">
      <c r="A24">
        <v>691288.19</v>
      </c>
      <c r="B24">
        <f>98015.50529
+(1.202273376*Cleaned_Data!E211)
+(33.98425653*Cleaned_Data!F211)
+(2886.7347*Cleaned_Data!I211)
+(11024.99051*Cleaned_Data!L211)
+(-8375.710551*Cleaned_Data!O211)
+(4929.586703*Cleaned_Data!P211)
+(-17042.83335*Cleaned_Data!Q211)</f>
        <v>759544.76325092721</v>
      </c>
      <c r="C24" s="28">
        <f>A24-B24</f>
        <v>-68256.573250927264</v>
      </c>
      <c r="E24" s="38" t="s">
        <v>146</v>
      </c>
      <c r="F24" s="15"/>
      <c r="G24" s="15"/>
      <c r="H24" s="15"/>
      <c r="I24" s="15"/>
      <c r="J24" s="15"/>
      <c r="K24" s="15"/>
    </row>
    <row r="25" spans="1:11">
      <c r="A25">
        <v>630829.93999999994</v>
      </c>
      <c r="B25">
        <f>98015.50529
+(1.202273376*Cleaned_Data!E75)
+(33.98425653*Cleaned_Data!F75)
+(2886.7347*Cleaned_Data!I75)
+(11024.99051*Cleaned_Data!L75)
+(-8375.710551*Cleaned_Data!O75)
+(4929.586703*Cleaned_Data!P75)
+(-17042.83335*Cleaned_Data!Q75)</f>
        <v>699012.0739271479</v>
      </c>
      <c r="C25" s="28">
        <f>A25-B25</f>
        <v>-68182.133927147952</v>
      </c>
      <c r="E25" s="15"/>
      <c r="F25" s="15"/>
      <c r="G25" s="15"/>
      <c r="H25" s="15"/>
      <c r="I25" s="15"/>
      <c r="J25" s="15"/>
      <c r="K25" s="15"/>
    </row>
    <row r="26" spans="1:11">
      <c r="A26">
        <v>441275.42</v>
      </c>
      <c r="B26">
        <f>98015.50529
+(1.202273376*Cleaned_Data!E125)
+(33.98425653*Cleaned_Data!F125)
+(2886.7347*Cleaned_Data!I125)
+(11024.99051*Cleaned_Data!L125)
+(-8375.710551*Cleaned_Data!O125)
+(4929.586703*Cleaned_Data!P125)
+(-17042.83335*Cleaned_Data!Q125)</f>
        <v>508165.91404708842</v>
      </c>
      <c r="C26" s="28">
        <f>A26-B26</f>
        <v>-66890.494047088432</v>
      </c>
      <c r="E26" s="15"/>
      <c r="F26" s="15"/>
      <c r="G26" s="15"/>
      <c r="H26" s="15"/>
      <c r="I26" s="15"/>
      <c r="J26" s="15"/>
      <c r="K26" s="15"/>
    </row>
    <row r="27" spans="1:11">
      <c r="A27">
        <v>651164.18000000005</v>
      </c>
      <c r="B27">
        <f>98015.50529
+(1.202273376*Cleaned_Data!E309)
+(33.98425653*Cleaned_Data!F309)
+(2886.7347*Cleaned_Data!I309)
+(11024.99051*Cleaned_Data!L309)
+(-8375.710551*Cleaned_Data!O309)
+(4929.586703*Cleaned_Data!P309)
+(-17042.83335*Cleaned_Data!Q309)</f>
        <v>717743.36927632277</v>
      </c>
      <c r="C27" s="28">
        <f>A27-B27</f>
        <v>-66579.189276322722</v>
      </c>
      <c r="E27" s="15"/>
      <c r="F27" s="15"/>
      <c r="G27" s="15"/>
      <c r="H27" s="15"/>
      <c r="I27" s="15"/>
      <c r="J27" s="15"/>
      <c r="K27" s="15"/>
    </row>
    <row r="28" spans="1:11">
      <c r="A28">
        <v>660633.99</v>
      </c>
      <c r="B28">
        <f>98015.50529
+(1.202273376*Cleaned_Data!E270)
+(33.98425653*Cleaned_Data!F270)
+(2886.7347*Cleaned_Data!I270)
+(11024.99051*Cleaned_Data!L270)
+(-8375.710551*Cleaned_Data!O270)
+(4929.586703*Cleaned_Data!P270)
+(-17042.83335*Cleaned_Data!Q270)</f>
        <v>726869.33210381807</v>
      </c>
      <c r="C28" s="28">
        <f>A28-B28</f>
        <v>-66235.342103818082</v>
      </c>
      <c r="E28" s="15"/>
      <c r="F28" s="15"/>
      <c r="G28" s="15"/>
      <c r="H28" s="15"/>
      <c r="I28" s="15"/>
      <c r="J28" s="15"/>
      <c r="K28" s="15"/>
    </row>
    <row r="29" spans="1:11">
      <c r="A29">
        <v>675917.63</v>
      </c>
      <c r="B29">
        <f>98015.50529
+(1.202273376*Cleaned_Data!E209)
+(33.98425653*Cleaned_Data!F209)
+(2886.7347*Cleaned_Data!I209)
+(11024.99051*Cleaned_Data!L209)
+(-8375.710551*Cleaned_Data!O209)
+(4929.586703*Cleaned_Data!P209)
+(-17042.83335*Cleaned_Data!Q209)</f>
        <v>741959.63256278017</v>
      </c>
      <c r="C29" s="28">
        <f>A29-B29</f>
        <v>-66042.002562780166</v>
      </c>
      <c r="E29" s="15"/>
      <c r="F29" s="15"/>
      <c r="G29" s="15"/>
      <c r="H29" s="15"/>
      <c r="I29" s="15"/>
      <c r="J29" s="15"/>
      <c r="K29" s="15"/>
    </row>
    <row r="30" spans="1:11">
      <c r="A30">
        <v>799477.76000000001</v>
      </c>
      <c r="B30">
        <f>98015.50529
+(1.202273376*Cleaned_Data!E35)
+(33.98425653*Cleaned_Data!F35)
+(2886.7347*Cleaned_Data!I35)
+(11024.99051*Cleaned_Data!L35)
+(-8375.710551*Cleaned_Data!O35)
+(4929.586703*Cleaned_Data!P35)
+(-17042.83335*Cleaned_Data!Q35)</f>
        <v>863504.07003621815</v>
      </c>
      <c r="C30" s="28">
        <f>A30-B30</f>
        <v>-64026.310036218143</v>
      </c>
      <c r="E30" s="15"/>
      <c r="F30" s="15"/>
      <c r="G30" s="15"/>
      <c r="H30" s="15"/>
      <c r="I30" s="15"/>
      <c r="J30" s="15"/>
      <c r="K30" s="15"/>
    </row>
    <row r="31" spans="1:11">
      <c r="A31">
        <v>725235.28</v>
      </c>
      <c r="B31">
        <f>98015.50529
+(1.202273376*Cleaned_Data!E132)
+(33.98425653*Cleaned_Data!F132)
+(2886.7347*Cleaned_Data!I132)
+(11024.99051*Cleaned_Data!L132)
+(-8375.710551*Cleaned_Data!O132)
+(4929.586703*Cleaned_Data!P132)
+(-17042.83335*Cleaned_Data!Q132)</f>
        <v>789253.50482065685</v>
      </c>
      <c r="C31" s="28">
        <f>A31-B31</f>
        <v>-64018.224820656818</v>
      </c>
      <c r="E31" s="15"/>
      <c r="F31" s="15"/>
      <c r="G31" s="15"/>
      <c r="H31" s="15"/>
      <c r="I31" s="15"/>
      <c r="J31" s="15"/>
      <c r="K31" s="15"/>
    </row>
    <row r="32" spans="1:11">
      <c r="A32">
        <v>634436</v>
      </c>
      <c r="B32">
        <f>98015.50529
+(1.202273376*Cleaned_Data!E3)
+(33.98425653*Cleaned_Data!F3)
+(2886.7347*Cleaned_Data!I3)
+(11024.99051*Cleaned_Data!L3)
+(-8375.710551*Cleaned_Data!O3)
+(4929.586703*Cleaned_Data!P3)
+(-17042.83335*Cleaned_Data!Q3)</f>
        <v>696600.54449136672</v>
      </c>
      <c r="C32" s="28">
        <f>A32-B32</f>
        <v>-62164.544491366716</v>
      </c>
      <c r="E32" s="15"/>
      <c r="F32" s="15"/>
      <c r="G32" s="15"/>
      <c r="H32" s="15"/>
      <c r="I32" s="15"/>
      <c r="J32" s="15"/>
      <c r="K32" s="15"/>
    </row>
    <row r="33" spans="1:11">
      <c r="A33">
        <v>593343</v>
      </c>
      <c r="B33">
        <f>98015.50529
+(1.202273376*Cleaned_Data!E273)
+(33.98425653*Cleaned_Data!F273)
+(2886.7347*Cleaned_Data!I273)
+(11024.99051*Cleaned_Data!L273)
+(-8375.710551*Cleaned_Data!O273)
+(4929.586703*Cleaned_Data!P273)
+(-17042.83335*Cleaned_Data!Q273)</f>
        <v>653416.57489396364</v>
      </c>
      <c r="C33" s="28">
        <f>A33-B33</f>
        <v>-60073.57489396364</v>
      </c>
      <c r="E33" s="15"/>
      <c r="F33" s="15"/>
      <c r="G33" s="15"/>
      <c r="H33" s="15"/>
      <c r="I33" s="15"/>
      <c r="J33" s="15"/>
      <c r="K33" s="15"/>
    </row>
    <row r="34" spans="1:11">
      <c r="A34">
        <v>650480.06000000006</v>
      </c>
      <c r="B34">
        <f>98015.50529
+(1.202273376*Cleaned_Data!E162)
+(33.98425653*Cleaned_Data!F162)
+(2886.7347*Cleaned_Data!I162)
+(11024.99051*Cleaned_Data!L162)
+(-8375.710551*Cleaned_Data!O162)
+(4929.586703*Cleaned_Data!P162)
+(-17042.83335*Cleaned_Data!Q162)</f>
        <v>710318.79138780222</v>
      </c>
      <c r="C34" s="28">
        <f>A34-B34</f>
        <v>-59838.731387802167</v>
      </c>
      <c r="E34" s="15"/>
      <c r="F34" s="15"/>
      <c r="G34" s="15"/>
      <c r="H34" s="15"/>
      <c r="I34" s="15"/>
      <c r="J34" s="15"/>
      <c r="K34" s="15"/>
    </row>
    <row r="35" spans="1:11">
      <c r="A35">
        <v>620264.19999999995</v>
      </c>
      <c r="B35">
        <f>98015.50529
+(1.202273376*Cleaned_Data!E318)
+(33.98425653*Cleaned_Data!F318)
+(2886.7347*Cleaned_Data!I318)
+(11024.99051*Cleaned_Data!L318)
+(-8375.710551*Cleaned_Data!O318)
+(4929.586703*Cleaned_Data!P318)
+(-17042.83335*Cleaned_Data!Q318)</f>
        <v>676998.86733901442</v>
      </c>
      <c r="C35" s="28">
        <f>A35-B35</f>
        <v>-56734.667339014472</v>
      </c>
    </row>
    <row r="36" spans="1:11">
      <c r="A36">
        <v>726606.28</v>
      </c>
      <c r="B36">
        <f>98015.50529
+(1.202273376*Cleaned_Data!E15)
+(33.98425653*Cleaned_Data!F15)
+(2886.7347*Cleaned_Data!I15)
+(11024.99051*Cleaned_Data!L15)
+(-8375.710551*Cleaned_Data!O15)
+(4929.586703*Cleaned_Data!P15)
+(-17042.83335*Cleaned_Data!Q15)</f>
        <v>782128.47159700433</v>
      </c>
      <c r="C36" s="28">
        <f>A36-B36</f>
        <v>-55522.191597004305</v>
      </c>
    </row>
    <row r="37" spans="1:11">
      <c r="A37">
        <v>400831.65</v>
      </c>
      <c r="B37">
        <f>98015.50529
+(1.202273376*Cleaned_Data!E135)
+(33.98425653*Cleaned_Data!F135)
+(2886.7347*Cleaned_Data!I135)
+(11024.99051*Cleaned_Data!L135)
+(-8375.710551*Cleaned_Data!O135)
+(4929.586703*Cleaned_Data!P135)
+(-17042.83335*Cleaned_Data!Q135)</f>
        <v>455155.52819027659</v>
      </c>
      <c r="C37" s="28">
        <f>A37-B37</f>
        <v>-54323.878190276562</v>
      </c>
    </row>
    <row r="38" spans="1:11">
      <c r="A38">
        <v>527300.13</v>
      </c>
      <c r="B38">
        <f>98015.50529
+(1.202273376*Cleaned_Data!E134)
+(33.98425653*Cleaned_Data!F134)
+(2886.7347*Cleaned_Data!I134)
+(11024.99051*Cleaned_Data!L134)
+(-8375.710551*Cleaned_Data!O134)
+(4929.586703*Cleaned_Data!P134)
+(-17042.83335*Cleaned_Data!Q134)</f>
        <v>579799.12614211126</v>
      </c>
      <c r="C38" s="28">
        <f>A38-B38</f>
        <v>-52498.996142111253</v>
      </c>
    </row>
    <row r="39" spans="1:11">
      <c r="A39">
        <v>536524.84</v>
      </c>
      <c r="B39">
        <f>98015.50529
+(1.202273376*Cleaned_Data!E311)
+(33.98425653*Cleaned_Data!F311)
+(2886.7347*Cleaned_Data!I311)
+(11024.99051*Cleaned_Data!L311)
+(-8375.710551*Cleaned_Data!O311)
+(4929.586703*Cleaned_Data!P311)
+(-17042.83335*Cleaned_Data!Q311)</f>
        <v>588528.8429588849</v>
      </c>
      <c r="C39" s="28">
        <f>A39-B39</f>
        <v>-52004.002958884928</v>
      </c>
    </row>
    <row r="40" spans="1:11">
      <c r="A40">
        <v>509484.81</v>
      </c>
      <c r="B40">
        <f>98015.50529
+(1.202273376*Cleaned_Data!E122)
+(33.98425653*Cleaned_Data!F122)
+(2886.7347*Cleaned_Data!I122)
+(11024.99051*Cleaned_Data!L122)
+(-8375.710551*Cleaned_Data!O122)
+(4929.586703*Cleaned_Data!P122)
+(-17042.83335*Cleaned_Data!Q122)</f>
        <v>561465.22190152493</v>
      </c>
      <c r="C40" s="28">
        <f>A40-B40</f>
        <v>-51980.411901524931</v>
      </c>
    </row>
    <row r="41" spans="1:11">
      <c r="A41">
        <v>643428.85</v>
      </c>
      <c r="B41">
        <f>98015.50529
+(1.202273376*Cleaned_Data!E194)
+(33.98425653*Cleaned_Data!F194)
+(2886.7347*Cleaned_Data!I194)
+(11024.99051*Cleaned_Data!L194)
+(-8375.710551*Cleaned_Data!O194)
+(4929.586703*Cleaned_Data!P194)
+(-17042.83335*Cleaned_Data!Q194)</f>
        <v>695302.2503834042</v>
      </c>
      <c r="C41" s="28">
        <f>A41-B41</f>
        <v>-51873.400383404223</v>
      </c>
    </row>
    <row r="42" spans="1:11">
      <c r="A42">
        <v>524899.56999999995</v>
      </c>
      <c r="B42">
        <f>98015.50529
+(1.202273376*Cleaned_Data!E282)
+(33.98425653*Cleaned_Data!F282)
+(2886.7347*Cleaned_Data!I282)
+(11024.99051*Cleaned_Data!L282)
+(-8375.710551*Cleaned_Data!O282)
+(4929.586703*Cleaned_Data!P282)
+(-17042.83335*Cleaned_Data!Q282)</f>
        <v>576356.62357471674</v>
      </c>
      <c r="C42" s="28">
        <f>A42-B42</f>
        <v>-51457.053574716789</v>
      </c>
    </row>
    <row r="43" spans="1:11">
      <c r="A43">
        <v>671868.59</v>
      </c>
      <c r="B43">
        <f>98015.50529
+(1.202273376*Cleaned_Data!E208)
+(33.98425653*Cleaned_Data!F208)
+(2886.7347*Cleaned_Data!I208)
+(11024.99051*Cleaned_Data!L208)
+(-8375.710551*Cleaned_Data!O208)
+(4929.586703*Cleaned_Data!P208)
+(-17042.83335*Cleaned_Data!Q208)</f>
        <v>723083.68767127965</v>
      </c>
      <c r="C43" s="28">
        <f>A43-B43</f>
        <v>-51215.097671279684</v>
      </c>
    </row>
    <row r="44" spans="1:11">
      <c r="A44">
        <v>741341.44</v>
      </c>
      <c r="B44">
        <f>98015.50529
+(1.202273376*Cleaned_Data!E6)
+(33.98425653*Cleaned_Data!F6)
+(2886.7347*Cleaned_Data!I6)
+(11024.99051*Cleaned_Data!L6)
+(-8375.710551*Cleaned_Data!O6)
+(4929.586703*Cleaned_Data!P6)
+(-17042.83335*Cleaned_Data!Q6)</f>
        <v>791607.89551472268</v>
      </c>
      <c r="C44" s="28">
        <f>A44-B44</f>
        <v>-50266.455514722737</v>
      </c>
    </row>
    <row r="45" spans="1:11">
      <c r="A45">
        <v>599603.4</v>
      </c>
      <c r="B45">
        <f>98015.50529
+(1.202273376*Cleaned_Data!E47)
+(33.98425653*Cleaned_Data!F47)
+(2886.7347*Cleaned_Data!I47)
+(11024.99051*Cleaned_Data!L47)
+(-8375.710551*Cleaned_Data!O47)
+(4929.586703*Cleaned_Data!P47)
+(-17042.83335*Cleaned_Data!Q47)</f>
        <v>649305.70501108887</v>
      </c>
      <c r="C45" s="28">
        <f>A45-B45</f>
        <v>-49702.305011088843</v>
      </c>
    </row>
    <row r="46" spans="1:11">
      <c r="A46">
        <v>554012.06999999995</v>
      </c>
      <c r="B46">
        <f>98015.50529
+(1.202273376*Cleaned_Data!E193)
+(33.98425653*Cleaned_Data!F193)
+(2886.7347*Cleaned_Data!I193)
+(11024.99051*Cleaned_Data!L193)
+(-8375.710551*Cleaned_Data!O193)
+(4929.586703*Cleaned_Data!P193)
+(-17042.83335*Cleaned_Data!Q193)</f>
        <v>601932.73950061377</v>
      </c>
      <c r="C46" s="28">
        <f>A46-B46</f>
        <v>-47920.669500613818</v>
      </c>
    </row>
    <row r="47" spans="1:11">
      <c r="A47">
        <v>570963.31000000006</v>
      </c>
      <c r="B47">
        <f>98015.50529
+(1.202273376*Cleaned_Data!E230)
+(33.98425653*Cleaned_Data!F230)
+(2886.7347*Cleaned_Data!I230)
+(11024.99051*Cleaned_Data!L230)
+(-8375.710551*Cleaned_Data!O230)
+(4929.586703*Cleaned_Data!P230)
+(-17042.83335*Cleaned_Data!Q230)</f>
        <v>618156.29076591053</v>
      </c>
      <c r="C47" s="28">
        <f>A47-B47</f>
        <v>-47192.98076591047</v>
      </c>
    </row>
    <row r="48" spans="1:11">
      <c r="A48">
        <v>680840.36</v>
      </c>
      <c r="B48">
        <f>98015.50529
+(1.202273376*Cleaned_Data!E77)
+(33.98425653*Cleaned_Data!F77)
+(2886.7347*Cleaned_Data!I77)
+(11024.99051*Cleaned_Data!L77)
+(-8375.710551*Cleaned_Data!O77)
+(4929.586703*Cleaned_Data!P77)
+(-17042.83335*Cleaned_Data!Q77)</f>
        <v>727606.12655941083</v>
      </c>
      <c r="C48" s="28">
        <f>A48-B48</f>
        <v>-46765.76655941084</v>
      </c>
    </row>
    <row r="49" spans="1:3">
      <c r="A49">
        <v>688368.46</v>
      </c>
      <c r="B49">
        <f>98015.50529
+(1.202273376*Cleaned_Data!E315)
+(33.98425653*Cleaned_Data!F315)
+(2886.7347*Cleaned_Data!I315)
+(11024.99051*Cleaned_Data!L315)
+(-8375.710551*Cleaned_Data!O315)
+(4929.586703*Cleaned_Data!P315)
+(-17042.83335*Cleaned_Data!Q315)</f>
        <v>733704.59363792429</v>
      </c>
      <c r="C49" s="28">
        <f>A49-B49</f>
        <v>-45336.133637924329</v>
      </c>
    </row>
    <row r="50" spans="1:3">
      <c r="A50">
        <v>546223.69999999995</v>
      </c>
      <c r="B50">
        <f>98015.50529
+(1.202273376*Cleaned_Data!E294)
+(33.98425653*Cleaned_Data!F294)
+(2886.7347*Cleaned_Data!I294)
+(11024.99051*Cleaned_Data!L294)
+(-8375.710551*Cleaned_Data!O294)
+(4929.586703*Cleaned_Data!P294)
+(-17042.83335*Cleaned_Data!Q294)</f>
        <v>590717.29179699637</v>
      </c>
      <c r="C50" s="28">
        <f>A50-B50</f>
        <v>-44493.591796996421</v>
      </c>
    </row>
    <row r="51" spans="1:3">
      <c r="A51">
        <v>487464.91</v>
      </c>
      <c r="B51">
        <f>98015.50529
+(1.202273376*Cleaned_Data!E57)
+(33.98425653*Cleaned_Data!F57)
+(2886.7347*Cleaned_Data!I57)
+(11024.99051*Cleaned_Data!L57)
+(-8375.710551*Cleaned_Data!O57)
+(4929.586703*Cleaned_Data!P57)
+(-17042.83335*Cleaned_Data!Q57)</f>
        <v>531733.84094022354</v>
      </c>
      <c r="C51" s="28">
        <f>A51-B51</f>
        <v>-44268.930940223567</v>
      </c>
    </row>
    <row r="52" spans="1:3">
      <c r="A52">
        <v>578949.84</v>
      </c>
      <c r="B52">
        <f>98015.50529
+(1.202273376*Cleaned_Data!E200)
+(33.98425653*Cleaned_Data!F200)
+(2886.7347*Cleaned_Data!I200)
+(11024.99051*Cleaned_Data!L200)
+(-8375.710551*Cleaned_Data!O200)
+(4929.586703*Cleaned_Data!P200)
+(-17042.83335*Cleaned_Data!Q200)</f>
        <v>621134.57986167807</v>
      </c>
      <c r="C52" s="28">
        <f>A52-B52</f>
        <v>-42184.739861678099</v>
      </c>
    </row>
    <row r="53" spans="1:3">
      <c r="A53">
        <v>574066.61</v>
      </c>
      <c r="B53">
        <f>98015.50529
+(1.202273376*Cleaned_Data!E199)
+(33.98425653*Cleaned_Data!F199)
+(2886.7347*Cleaned_Data!I199)
+(11024.99051*Cleaned_Data!L199)
+(-8375.710551*Cleaned_Data!O199)
+(4929.586703*Cleaned_Data!P199)
+(-17042.83335*Cleaned_Data!Q199)</f>
        <v>615194.34365263407</v>
      </c>
      <c r="C53" s="28">
        <f>A53-B53</f>
        <v>-41127.73365263408</v>
      </c>
    </row>
    <row r="54" spans="1:3">
      <c r="A54">
        <v>697287.9</v>
      </c>
      <c r="B54">
        <f>98015.50529
+(1.202273376*Cleaned_Data!E116)
+(33.98425653*Cleaned_Data!F116)
+(2886.7347*Cleaned_Data!I116)
+(11024.99051*Cleaned_Data!L116)
+(-8375.710551*Cleaned_Data!O116)
+(4929.586703*Cleaned_Data!P116)
+(-17042.83335*Cleaned_Data!Q116)</f>
        <v>737980.20589693764</v>
      </c>
      <c r="C54" s="28">
        <f>A54-B54</f>
        <v>-40692.305896937614</v>
      </c>
    </row>
    <row r="55" spans="1:3">
      <c r="A55">
        <v>739831.73</v>
      </c>
      <c r="B55">
        <f>98015.50529
+(1.202273376*Cleaned_Data!E170)
+(33.98425653*Cleaned_Data!F170)
+(2886.7347*Cleaned_Data!I170)
+(11024.99051*Cleaned_Data!L170)
+(-8375.710551*Cleaned_Data!O170)
+(4929.586703*Cleaned_Data!P170)
+(-17042.83335*Cleaned_Data!Q170)</f>
        <v>779610.23837161181</v>
      </c>
      <c r="C55" s="28">
        <f>A55-B55</f>
        <v>-39778.508371611824</v>
      </c>
    </row>
    <row r="56" spans="1:3">
      <c r="A56">
        <v>685830.24</v>
      </c>
      <c r="B56">
        <f>98015.50529
+(1.202273376*Cleaned_Data!E156)
+(33.98425653*Cleaned_Data!F156)
+(2886.7347*Cleaned_Data!I156)
+(11024.99051*Cleaned_Data!L156)
+(-8375.710551*Cleaned_Data!O156)
+(4929.586703*Cleaned_Data!P156)
+(-17042.83335*Cleaned_Data!Q156)</f>
        <v>725595.45947429386</v>
      </c>
      <c r="C56" s="28">
        <f>A56-B56</f>
        <v>-39765.219474293874</v>
      </c>
    </row>
    <row r="57" spans="1:3">
      <c r="A57">
        <v>658832.62</v>
      </c>
      <c r="B57">
        <f>98015.50529
+(1.202273376*Cleaned_Data!E2)
+(33.98425653*Cleaned_Data!F2)
+(2886.7347*Cleaned_Data!I2)
+(11024.99051*Cleaned_Data!L2)
+(-8375.710551*Cleaned_Data!O2)
+(4929.586703*Cleaned_Data!P2)
+(-17042.83335*Cleaned_Data!Q2)</f>
        <v>698419.49564639537</v>
      </c>
      <c r="C57" s="28">
        <f>A57-B57</f>
        <v>-39586.875646395376</v>
      </c>
    </row>
    <row r="58" spans="1:3">
      <c r="A58">
        <v>559660.84</v>
      </c>
      <c r="B58">
        <f>98015.50529
+(1.202273376*Cleaned_Data!E321)
+(33.98425653*Cleaned_Data!F321)
+(2886.7347*Cleaned_Data!I321)
+(11024.99051*Cleaned_Data!L321)
+(-8375.710551*Cleaned_Data!O321)
+(4929.586703*Cleaned_Data!P321)
+(-17042.83335*Cleaned_Data!Q321)</f>
        <v>598977.08467800939</v>
      </c>
      <c r="C58" s="28">
        <f>A58-B58</f>
        <v>-39316.244678009418</v>
      </c>
    </row>
    <row r="59" spans="1:3">
      <c r="A59">
        <v>607084.92000000004</v>
      </c>
      <c r="B59">
        <f>98015.50529
+(1.202273376*Cleaned_Data!E204)
+(33.98425653*Cleaned_Data!F204)
+(2886.7347*Cleaned_Data!I204)
+(11024.99051*Cleaned_Data!L204)
+(-8375.710551*Cleaned_Data!O204)
+(4929.586703*Cleaned_Data!P204)
+(-17042.83335*Cleaned_Data!Q204)</f>
        <v>646025.12745908462</v>
      </c>
      <c r="C59" s="28">
        <f>A59-B59</f>
        <v>-38940.207459084573</v>
      </c>
    </row>
    <row r="60" spans="1:3">
      <c r="A60">
        <v>577732.56999999995</v>
      </c>
      <c r="B60">
        <f>98015.50529
+(1.202273376*Cleaned_Data!E146)
+(33.98425653*Cleaned_Data!F146)
+(2886.7347*Cleaned_Data!I146)
+(11024.99051*Cleaned_Data!L146)
+(-8375.710551*Cleaned_Data!O146)
+(4929.586703*Cleaned_Data!P146)
+(-17042.83335*Cleaned_Data!Q146)</f>
        <v>616589.43465052324</v>
      </c>
      <c r="C60" s="28">
        <f>A60-B60</f>
        <v>-38856.86465052329</v>
      </c>
    </row>
    <row r="61" spans="1:3">
      <c r="A61">
        <v>573155.18999999994</v>
      </c>
      <c r="B61">
        <f>98015.50529
+(1.202273376*Cleaned_Data!E19)
+(33.98425653*Cleaned_Data!F19)
+(2886.7347*Cleaned_Data!I19)
+(11024.99051*Cleaned_Data!L19)
+(-8375.710551*Cleaned_Data!O19)
+(4929.586703*Cleaned_Data!P19)
+(-17042.83335*Cleaned_Data!Q19)</f>
        <v>611463.7803514204</v>
      </c>
      <c r="C61" s="28">
        <f>A61-B61</f>
        <v>-38308.590351420455</v>
      </c>
    </row>
    <row r="62" spans="1:3">
      <c r="A62">
        <v>611766.72</v>
      </c>
      <c r="B62">
        <f>98015.50529
+(1.202273376*Cleaned_Data!E87)
+(33.98425653*Cleaned_Data!F87)
+(2886.7347*Cleaned_Data!I87)
+(11024.99051*Cleaned_Data!L87)
+(-8375.710551*Cleaned_Data!O87)
+(4929.586703*Cleaned_Data!P87)
+(-17042.83335*Cleaned_Data!Q87)</f>
        <v>648930.94010938751</v>
      </c>
      <c r="C62" s="28">
        <f>A62-B62</f>
        <v>-37164.220109387534</v>
      </c>
    </row>
    <row r="63" spans="1:3">
      <c r="A63">
        <v>555557.77</v>
      </c>
      <c r="B63">
        <f>98015.50529
+(1.202273376*Cleaned_Data!E283)
+(33.98425653*Cleaned_Data!F283)
+(2886.7347*Cleaned_Data!I283)
+(11024.99051*Cleaned_Data!L283)
+(-8375.710551*Cleaned_Data!O283)
+(4929.586703*Cleaned_Data!P283)
+(-17042.83335*Cleaned_Data!Q283)</f>
        <v>590595.03149912378</v>
      </c>
      <c r="C63" s="28">
        <f>A63-B63</f>
        <v>-35037.261499123764</v>
      </c>
    </row>
    <row r="64" spans="1:3">
      <c r="A64">
        <v>666573.19999999995</v>
      </c>
      <c r="B64">
        <f>98015.50529
+(1.202273376*Cleaned_Data!E20)
+(33.98425653*Cleaned_Data!F20)
+(2886.7347*Cleaned_Data!I20)
+(11024.99051*Cleaned_Data!L20)
+(-8375.710551*Cleaned_Data!O20)
+(4929.586703*Cleaned_Data!P20)
+(-17042.83335*Cleaned_Data!Q20)</f>
        <v>700565.65969140118</v>
      </c>
      <c r="C64" s="28">
        <f>A64-B64</f>
        <v>-33992.459691401222</v>
      </c>
    </row>
    <row r="65" spans="1:3">
      <c r="A65">
        <v>696261.49</v>
      </c>
      <c r="B65">
        <f>98015.50529
+(1.202273376*Cleaned_Data!E291)
+(33.98425653*Cleaned_Data!F291)
+(2886.7347*Cleaned_Data!I291)
+(11024.99051*Cleaned_Data!L291)
+(-8375.710551*Cleaned_Data!O291)
+(4929.586703*Cleaned_Data!P291)
+(-17042.83335*Cleaned_Data!Q291)</f>
        <v>729713.08633268182</v>
      </c>
      <c r="C65" s="28">
        <f>A65-B65</f>
        <v>-33451.596332681831</v>
      </c>
    </row>
    <row r="66" spans="1:3">
      <c r="A66">
        <v>636561.34</v>
      </c>
      <c r="B66">
        <f>98015.50529
+(1.202273376*Cleaned_Data!E81)
+(33.98425653*Cleaned_Data!F81)
+(2886.7347*Cleaned_Data!I81)
+(11024.99051*Cleaned_Data!L81)
+(-8375.710551*Cleaned_Data!O81)
+(4929.586703*Cleaned_Data!P81)
+(-17042.83335*Cleaned_Data!Q81)</f>
        <v>669715.74434588233</v>
      </c>
      <c r="C66" s="28">
        <f>A66-B66</f>
        <v>-33154.404345882358</v>
      </c>
    </row>
    <row r="67" spans="1:3">
      <c r="A67">
        <v>596969.27</v>
      </c>
      <c r="B67">
        <f>98015.50529
+(1.202273376*Cleaned_Data!E232)
+(33.98425653*Cleaned_Data!F232)
+(2886.7347*Cleaned_Data!I232)
+(11024.99051*Cleaned_Data!L232)
+(-8375.710551*Cleaned_Data!O232)
+(4929.586703*Cleaned_Data!P232)
+(-17042.83335*Cleaned_Data!Q232)</f>
        <v>629921.65945960523</v>
      </c>
      <c r="C67" s="28">
        <f>A67-B67</f>
        <v>-32952.389459605212</v>
      </c>
    </row>
    <row r="68" spans="1:3">
      <c r="A68">
        <v>800979.78</v>
      </c>
      <c r="B68">
        <f>98015.50529
+(1.202273376*Cleaned_Data!E37)
+(33.98425653*Cleaned_Data!F37)
+(2886.7347*Cleaned_Data!I37)
+(11024.99051*Cleaned_Data!L37)
+(-8375.710551*Cleaned_Data!O37)
+(4929.586703*Cleaned_Data!P37)
+(-17042.83335*Cleaned_Data!Q37)</f>
        <v>833453.76872619765</v>
      </c>
      <c r="C68" s="28">
        <f>A68-B68</f>
        <v>-32473.988726197626</v>
      </c>
    </row>
    <row r="69" spans="1:3">
      <c r="A69">
        <v>718330.53</v>
      </c>
      <c r="B69">
        <f>98015.50529
+(1.202273376*Cleaned_Data!E39)
+(33.98425653*Cleaned_Data!F39)
+(2886.7347*Cleaned_Data!I39)
+(11024.99051*Cleaned_Data!L39)
+(-8375.710551*Cleaned_Data!O39)
+(4929.586703*Cleaned_Data!P39)
+(-17042.83335*Cleaned_Data!Q39)</f>
        <v>750521.73441088421</v>
      </c>
      <c r="C69" s="28">
        <f>A69-B69</f>
        <v>-32191.20441088418</v>
      </c>
    </row>
    <row r="70" spans="1:3">
      <c r="A70">
        <v>586626.93999999994</v>
      </c>
      <c r="B70">
        <f>98015.50529
+(1.202273376*Cleaned_Data!E103)
+(33.98425653*Cleaned_Data!F103)
+(2886.7347*Cleaned_Data!I103)
+(11024.99051*Cleaned_Data!L103)
+(-8375.710551*Cleaned_Data!O103)
+(4929.586703*Cleaned_Data!P103)
+(-17042.83335*Cleaned_Data!Q103)</f>
        <v>618229.45966295782</v>
      </c>
      <c r="C70" s="28">
        <f>A70-B70</f>
        <v>-31602.519662957871</v>
      </c>
    </row>
    <row r="71" spans="1:3">
      <c r="A71">
        <v>557487.26</v>
      </c>
      <c r="B71">
        <f>98015.50529
+(1.202273376*Cleaned_Data!E124)
+(33.98425653*Cleaned_Data!F124)
+(2886.7347*Cleaned_Data!I124)
+(11024.99051*Cleaned_Data!L124)
+(-8375.710551*Cleaned_Data!O124)
+(4929.586703*Cleaned_Data!P124)
+(-17042.83335*Cleaned_Data!Q124)</f>
        <v>588528.16675062489</v>
      </c>
      <c r="C71" s="28">
        <f>A71-B71</f>
        <v>-31040.906750624883</v>
      </c>
    </row>
    <row r="72" spans="1:3">
      <c r="A72">
        <v>612390.14</v>
      </c>
      <c r="B72">
        <f>98015.50529
+(1.202273376*Cleaned_Data!E257)
+(33.98425653*Cleaned_Data!F257)
+(2886.7347*Cleaned_Data!I257)
+(11024.99051*Cleaned_Data!L257)
+(-8375.710551*Cleaned_Data!O257)
+(4929.586703*Cleaned_Data!P257)
+(-17042.83335*Cleaned_Data!Q257)</f>
        <v>643343.71663002006</v>
      </c>
      <c r="C72" s="28">
        <f>A72-B72</f>
        <v>-30953.576630020048</v>
      </c>
    </row>
    <row r="73" spans="1:3">
      <c r="A73">
        <v>537058.32999999996</v>
      </c>
      <c r="B73">
        <f>98015.50529
+(1.202273376*Cleaned_Data!E147)
+(33.98425653*Cleaned_Data!F147)
+(2886.7347*Cleaned_Data!I147)
+(11024.99051*Cleaned_Data!L147)
+(-8375.710551*Cleaned_Data!O147)
+(4929.586703*Cleaned_Data!P147)
+(-17042.83335*Cleaned_Data!Q147)</f>
        <v>567039.53940915549</v>
      </c>
      <c r="C73" s="28">
        <f>A73-B73</f>
        <v>-29981.209409155534</v>
      </c>
    </row>
    <row r="74" spans="1:3">
      <c r="A74">
        <v>553756.43000000005</v>
      </c>
      <c r="B74">
        <f>98015.50529
+(1.202273376*Cleaned_Data!E61)
+(33.98425653*Cleaned_Data!F61)
+(2886.7347*Cleaned_Data!I61)
+(11024.99051*Cleaned_Data!L61)
+(-8375.710551*Cleaned_Data!O61)
+(4929.586703*Cleaned_Data!P61)
+(-17042.83335*Cleaned_Data!Q61)</f>
        <v>583326.85185156716</v>
      </c>
      <c r="C74" s="28">
        <f>A74-B74</f>
        <v>-29570.421851567109</v>
      </c>
    </row>
    <row r="75" spans="1:3">
      <c r="A75">
        <v>666152.52</v>
      </c>
      <c r="B75">
        <f>98015.50529
+(1.202273376*Cleaned_Data!E18)
+(33.98425653*Cleaned_Data!F18)
+(2886.7347*Cleaned_Data!I18)
+(11024.99051*Cleaned_Data!L18)
+(-8375.710551*Cleaned_Data!O18)
+(4929.586703*Cleaned_Data!P18)
+(-17042.83335*Cleaned_Data!Q18)</f>
        <v>695407.10274465673</v>
      </c>
      <c r="C75" s="28">
        <f>A75-B75</f>
        <v>-29254.582744656713</v>
      </c>
    </row>
    <row r="76" spans="1:3">
      <c r="A76">
        <v>548103.69999999995</v>
      </c>
      <c r="B76">
        <f>98015.50529
+(1.202273376*Cleaned_Data!E289)
+(33.98425653*Cleaned_Data!F289)
+(2886.7347*Cleaned_Data!I289)
+(11024.99051*Cleaned_Data!L289)
+(-8375.710551*Cleaned_Data!O289)
+(4929.586703*Cleaned_Data!P289)
+(-17042.83335*Cleaned_Data!Q289)</f>
        <v>577141.41955337743</v>
      </c>
      <c r="C76" s="28">
        <f>A76-B76</f>
        <v>-29037.719553377479</v>
      </c>
    </row>
    <row r="77" spans="1:3">
      <c r="A77">
        <v>622811.74</v>
      </c>
      <c r="B77">
        <f>98015.50529
+(1.202273376*Cleaned_Data!E50)
+(33.98425653*Cleaned_Data!F50)
+(2886.7347*Cleaned_Data!I50)
+(11024.99051*Cleaned_Data!L50)
+(-8375.710551*Cleaned_Data!O50)
+(4929.586703*Cleaned_Data!P50)
+(-17042.83335*Cleaned_Data!Q50)</f>
        <v>651847.03577141277</v>
      </c>
      <c r="C77" s="28">
        <f>A77-B77</f>
        <v>-29035.295771412784</v>
      </c>
    </row>
    <row r="78" spans="1:3">
      <c r="A78">
        <v>617291.15</v>
      </c>
      <c r="B78">
        <f>98015.50529
+(1.202273376*Cleaned_Data!E60)
+(33.98425653*Cleaned_Data!F60)
+(2886.7347*Cleaned_Data!I60)
+(11024.99051*Cleaned_Data!L60)
+(-8375.710551*Cleaned_Data!O60)
+(4929.586703*Cleaned_Data!P60)
+(-17042.83335*Cleaned_Data!Q60)</f>
        <v>646232.31888604048</v>
      </c>
      <c r="C78" s="28">
        <f>A78-B78</f>
        <v>-28941.168886040454</v>
      </c>
    </row>
    <row r="79" spans="1:3">
      <c r="A79">
        <v>718074.79</v>
      </c>
      <c r="B79">
        <f>98015.50529
+(1.202273376*Cleaned_Data!E117)
+(33.98425653*Cleaned_Data!F117)
+(2886.7347*Cleaned_Data!I117)
+(11024.99051*Cleaned_Data!L117)
+(-8375.710551*Cleaned_Data!O117)
+(4929.586703*Cleaned_Data!P117)
+(-17042.83335*Cleaned_Data!Q117)</f>
        <v>746989.05663883302</v>
      </c>
      <c r="C79" s="28">
        <f>A79-B79</f>
        <v>-28914.266638832982</v>
      </c>
    </row>
    <row r="80" spans="1:3">
      <c r="A80">
        <v>607898.12</v>
      </c>
      <c r="B80">
        <f>98015.50529
+(1.202273376*Cleaned_Data!E97)
+(33.98425653*Cleaned_Data!F97)
+(2886.7347*Cleaned_Data!I97)
+(11024.99051*Cleaned_Data!L97)
+(-8375.710551*Cleaned_Data!O97)
+(4929.586703*Cleaned_Data!P97)
+(-17042.83335*Cleaned_Data!Q97)</f>
        <v>636575.59550168843</v>
      </c>
      <c r="C80" s="28">
        <f>A80-B80</f>
        <v>-28677.47550168843</v>
      </c>
    </row>
    <row r="81" spans="1:3">
      <c r="A81">
        <v>614024.91</v>
      </c>
      <c r="B81">
        <f>98015.50529
+(1.202273376*Cleaned_Data!E150)
+(33.98425653*Cleaned_Data!F150)
+(2886.7347*Cleaned_Data!I150)
+(11024.99051*Cleaned_Data!L150)
+(-8375.710551*Cleaned_Data!O150)
+(4929.586703*Cleaned_Data!P150)
+(-17042.83335*Cleaned_Data!Q150)</f>
        <v>642271.55296246568</v>
      </c>
      <c r="C81" s="28">
        <f>A81-B81</f>
        <v>-28246.642962465645</v>
      </c>
    </row>
    <row r="82" spans="1:3">
      <c r="A82">
        <v>761122.42</v>
      </c>
      <c r="B82">
        <f>98015.50529
+(1.202273376*Cleaned_Data!E281)
+(33.98425653*Cleaned_Data!F281)
+(2886.7347*Cleaned_Data!I281)
+(11024.99051*Cleaned_Data!L281)
+(-8375.710551*Cleaned_Data!O281)
+(4929.586703*Cleaned_Data!P281)
+(-17042.83335*Cleaned_Data!Q281)</f>
        <v>788946.72260695661</v>
      </c>
      <c r="C82" s="28">
        <f>A82-B82</f>
        <v>-27824.302606956568</v>
      </c>
    </row>
    <row r="83" spans="1:3">
      <c r="A83">
        <v>723531.4</v>
      </c>
      <c r="B83">
        <f>98015.50529
+(1.202273376*Cleaned_Data!E225)
+(33.98425653*Cleaned_Data!F225)
+(2886.7347*Cleaned_Data!I225)
+(11024.99051*Cleaned_Data!L225)
+(-8375.710551*Cleaned_Data!O225)
+(4929.586703*Cleaned_Data!P225)
+(-17042.83335*Cleaned_Data!Q225)</f>
        <v>750863.30331537244</v>
      </c>
      <c r="C83" s="28">
        <f>A83-B83</f>
        <v>-27331.903315372416</v>
      </c>
    </row>
    <row r="84" spans="1:3">
      <c r="A84">
        <v>621369.57999999996</v>
      </c>
      <c r="B84">
        <f>98015.50529
+(1.202273376*Cleaned_Data!E82)
+(33.98425653*Cleaned_Data!F82)
+(2886.7347*Cleaned_Data!I82)
+(11024.99051*Cleaned_Data!L82)
+(-8375.710551*Cleaned_Data!O82)
+(4929.586703*Cleaned_Data!P82)
+(-17042.83335*Cleaned_Data!Q82)</f>
        <v>647977.94822028978</v>
      </c>
      <c r="C84" s="28">
        <f>A84-B84</f>
        <v>-26608.36822028982</v>
      </c>
    </row>
    <row r="85" spans="1:3">
      <c r="A85">
        <v>585937.48</v>
      </c>
      <c r="B85">
        <f>98015.50529
+(1.202273376*Cleaned_Data!E94)
+(33.98425653*Cleaned_Data!F94)
+(2886.7347*Cleaned_Data!I94)
+(11024.99051*Cleaned_Data!L94)
+(-8375.710551*Cleaned_Data!O94)
+(4929.586703*Cleaned_Data!P94)
+(-17042.83335*Cleaned_Data!Q94)</f>
        <v>611795.49921027781</v>
      </c>
      <c r="C85" s="28">
        <f>A85-B85</f>
        <v>-25858.019210277824</v>
      </c>
    </row>
    <row r="86" spans="1:3">
      <c r="A86">
        <v>591619.94999999995</v>
      </c>
      <c r="B86">
        <f>98015.50529
+(1.202273376*Cleaned_Data!E21)
+(33.98425653*Cleaned_Data!F21)
+(2886.7347*Cleaned_Data!I21)
+(11024.99051*Cleaned_Data!L21)
+(-8375.710551*Cleaned_Data!O21)
+(4929.586703*Cleaned_Data!P21)
+(-17042.83335*Cleaned_Data!Q21)</f>
        <v>617101.66515050572</v>
      </c>
      <c r="C86" s="28">
        <f>A86-B86</f>
        <v>-25481.71515050577</v>
      </c>
    </row>
    <row r="87" spans="1:3">
      <c r="A87">
        <v>721364.11</v>
      </c>
      <c r="B87">
        <f>98015.50529
+(1.202273376*Cleaned_Data!E175)
+(33.98425653*Cleaned_Data!F175)
+(2886.7347*Cleaned_Data!I175)
+(11024.99051*Cleaned_Data!L175)
+(-8375.710551*Cleaned_Data!O175)
+(4929.586703*Cleaned_Data!P175)
+(-17042.83335*Cleaned_Data!Q175)</f>
        <v>746714.68244882848</v>
      </c>
      <c r="C87" s="28">
        <f>A87-B87</f>
        <v>-25350.57244882849</v>
      </c>
    </row>
    <row r="88" spans="1:3">
      <c r="A88">
        <v>628538.30000000005</v>
      </c>
      <c r="B88">
        <f>98015.50529
+(1.202273376*Cleaned_Data!E310)
+(33.98425653*Cleaned_Data!F310)
+(2886.7347*Cleaned_Data!I310)
+(11024.99051*Cleaned_Data!L310)
+(-8375.710551*Cleaned_Data!O310)
+(4929.586703*Cleaned_Data!P310)
+(-17042.83335*Cleaned_Data!Q310)</f>
        <v>653618.57417113567</v>
      </c>
      <c r="C88" s="28">
        <f>A88-B88</f>
        <v>-25080.274171135621</v>
      </c>
    </row>
    <row r="89" spans="1:3">
      <c r="A89">
        <v>621677.30000000005</v>
      </c>
      <c r="B89">
        <f>98015.50529
+(1.202273376*Cleaned_Data!E312)
+(33.98425653*Cleaned_Data!F312)
+(2886.7347*Cleaned_Data!I312)
+(11024.99051*Cleaned_Data!L312)
+(-8375.710551*Cleaned_Data!O312)
+(4929.586703*Cleaned_Data!P312)
+(-17042.83335*Cleaned_Data!Q312)</f>
        <v>646624.69037706545</v>
      </c>
      <c r="C89" s="28">
        <f>A89-B89</f>
        <v>-24947.3903770654</v>
      </c>
    </row>
    <row r="90" spans="1:3">
      <c r="A90">
        <v>677096.71</v>
      </c>
      <c r="B90">
        <f>98015.50529
+(1.202273376*Cleaned_Data!E164)
+(33.98425653*Cleaned_Data!F164)
+(2886.7347*Cleaned_Data!I164)
+(11024.99051*Cleaned_Data!L164)
+(-8375.710551*Cleaned_Data!O164)
+(4929.586703*Cleaned_Data!P164)
+(-17042.83335*Cleaned_Data!Q164)</f>
        <v>700694.3135499208</v>
      </c>
      <c r="C90" s="28">
        <f>A90-B90</f>
        <v>-23597.603549920837</v>
      </c>
    </row>
    <row r="91" spans="1:3">
      <c r="A91">
        <v>842439.67</v>
      </c>
      <c r="B91">
        <f>98015.50529
+(1.202273376*Cleaned_Data!E127)
+(33.98425653*Cleaned_Data!F127)
+(2886.7347*Cleaned_Data!I127)
+(11024.99051*Cleaned_Data!L127)
+(-8375.710551*Cleaned_Data!O127)
+(4929.586703*Cleaned_Data!P127)
+(-17042.83335*Cleaned_Data!Q127)</f>
        <v>865428.82332915207</v>
      </c>
      <c r="C91" s="28">
        <f>A91-B91</f>
        <v>-22989.153329152032</v>
      </c>
    </row>
    <row r="92" spans="1:3">
      <c r="A92">
        <v>735480.19</v>
      </c>
      <c r="B92">
        <f>98015.50529
+(1.202273376*Cleaned_Data!E121)
+(33.98425653*Cleaned_Data!F121)
+(2886.7347*Cleaned_Data!I121)
+(11024.99051*Cleaned_Data!L121)
+(-8375.710551*Cleaned_Data!O121)
+(4929.586703*Cleaned_Data!P121)
+(-17042.83335*Cleaned_Data!Q121)</f>
        <v>757802.16167535644</v>
      </c>
      <c r="C92" s="28">
        <f>A92-B92</f>
        <v>-22321.971675356501</v>
      </c>
    </row>
    <row r="93" spans="1:3">
      <c r="A93">
        <v>529075.94999999995</v>
      </c>
      <c r="B93">
        <f>98015.50529
+(1.202273376*Cleaned_Data!E137)
+(33.98425653*Cleaned_Data!F137)
+(2886.7347*Cleaned_Data!I137)
+(11024.99051*Cleaned_Data!L137)
+(-8375.710551*Cleaned_Data!O137)
+(4929.586703*Cleaned_Data!P137)
+(-17042.83335*Cleaned_Data!Q137)</f>
        <v>550894.70481677179</v>
      </c>
      <c r="C93" s="28">
        <f>A93-B93</f>
        <v>-21818.754816771834</v>
      </c>
    </row>
    <row r="94" spans="1:3">
      <c r="A94">
        <v>752321.72</v>
      </c>
      <c r="B94">
        <f>98015.50529
+(1.202273376*Cleaned_Data!E216)
+(33.98425653*Cleaned_Data!F216)
+(2886.7347*Cleaned_Data!I216)
+(11024.99051*Cleaned_Data!L216)
+(-8375.710551*Cleaned_Data!O216)
+(4929.586703*Cleaned_Data!P216)
+(-17042.83335*Cleaned_Data!Q216)</f>
        <v>774045.87456923898</v>
      </c>
      <c r="C94" s="28">
        <f>A94-B94</f>
        <v>-21724.154569239006</v>
      </c>
    </row>
    <row r="95" spans="1:3">
      <c r="A95">
        <v>784502.68</v>
      </c>
      <c r="B95">
        <f>98015.50529
+(1.202273376*Cleaned_Data!E66)
+(33.98425653*Cleaned_Data!F66)
+(2886.7347*Cleaned_Data!I66)
+(11024.99051*Cleaned_Data!L66)
+(-8375.710551*Cleaned_Data!O66)
+(4929.586703*Cleaned_Data!P66)
+(-17042.83335*Cleaned_Data!Q66)</f>
        <v>806042.09661653661</v>
      </c>
      <c r="C95" s="28">
        <f>A95-B95</f>
        <v>-21539.41661653656</v>
      </c>
    </row>
    <row r="96" spans="1:3">
      <c r="A96">
        <v>636775.66</v>
      </c>
      <c r="B96">
        <f>98015.50529
+(1.202273376*Cleaned_Data!E286)
+(33.98425653*Cleaned_Data!F286)
+(2886.7347*Cleaned_Data!I286)
+(11024.99051*Cleaned_Data!L286)
+(-8375.710551*Cleaned_Data!O286)
+(4929.586703*Cleaned_Data!P286)
+(-17042.83335*Cleaned_Data!Q286)</f>
        <v>658130.09273907053</v>
      </c>
      <c r="C96" s="28">
        <f>A96-B96</f>
        <v>-21354.4327390705</v>
      </c>
    </row>
    <row r="97" spans="1:3">
      <c r="A97">
        <v>717141.55</v>
      </c>
      <c r="B97">
        <f>98015.50529
+(1.202273376*Cleaned_Data!E67)
+(33.98425653*Cleaned_Data!F67)
+(2886.7347*Cleaned_Data!I67)
+(11024.99051*Cleaned_Data!L67)
+(-8375.710551*Cleaned_Data!O67)
+(4929.586703*Cleaned_Data!P67)
+(-17042.83335*Cleaned_Data!Q67)</f>
        <v>738367.52368847758</v>
      </c>
      <c r="C97" s="28">
        <f>A97-B97</f>
        <v>-21225.973688477534</v>
      </c>
    </row>
    <row r="98" spans="1:3">
      <c r="A98">
        <v>491905.13</v>
      </c>
      <c r="B98">
        <f>98015.50529
+(1.202273376*Cleaned_Data!E23)
+(33.98425653*Cleaned_Data!F23)
+(2886.7347*Cleaned_Data!I23)
+(11024.99051*Cleaned_Data!L23)
+(-8375.710551*Cleaned_Data!O23)
+(4929.586703*Cleaned_Data!P23)
+(-17042.83335*Cleaned_Data!Q23)</f>
        <v>512620.23335646885</v>
      </c>
      <c r="C98" s="28">
        <f>A98-B98</f>
        <v>-20715.103356468841</v>
      </c>
    </row>
    <row r="99" spans="1:3">
      <c r="A99">
        <v>679230.86</v>
      </c>
      <c r="B99">
        <f>98015.50529
+(1.202273376*Cleaned_Data!E248)
+(33.98425653*Cleaned_Data!F248)
+(2886.7347*Cleaned_Data!I248)
+(11024.99051*Cleaned_Data!L248)
+(-8375.710551*Cleaned_Data!O248)
+(4929.586703*Cleaned_Data!P248)
+(-17042.83335*Cleaned_Data!Q248)</f>
        <v>699750.81277279509</v>
      </c>
      <c r="C99" s="28">
        <f>A99-B99</f>
        <v>-20519.952772795106</v>
      </c>
    </row>
    <row r="100" spans="1:3">
      <c r="A100">
        <v>758138.29</v>
      </c>
      <c r="B100">
        <f>98015.50529
+(1.202273376*Cleaned_Data!E176)
+(33.98425653*Cleaned_Data!F176)
+(2886.7347*Cleaned_Data!I176)
+(11024.99051*Cleaned_Data!L176)
+(-8375.710551*Cleaned_Data!O176)
+(4929.586703*Cleaned_Data!P176)
+(-17042.83335*Cleaned_Data!Q176)</f>
        <v>778591.84461382648</v>
      </c>
      <c r="C100" s="28">
        <f>A100-B100</f>
        <v>-20453.554613826447</v>
      </c>
    </row>
    <row r="101" spans="1:3">
      <c r="A101">
        <v>681855.56</v>
      </c>
      <c r="B101">
        <f>98015.50529
+(1.202273376*Cleaned_Data!E186)
+(33.98425653*Cleaned_Data!F186)
+(2886.7347*Cleaned_Data!I186)
+(11024.99051*Cleaned_Data!L186)
+(-8375.710551*Cleaned_Data!O186)
+(4929.586703*Cleaned_Data!P186)
+(-17042.83335*Cleaned_Data!Q186)</f>
        <v>701890.50545382919</v>
      </c>
      <c r="C101" s="28">
        <f>A101-B101</f>
        <v>-20034.945453829132</v>
      </c>
    </row>
    <row r="102" spans="1:3">
      <c r="A102">
        <v>599017.32999999996</v>
      </c>
      <c r="B102">
        <f>98015.50529
+(1.202273376*Cleaned_Data!E300)
+(33.98425653*Cleaned_Data!F300)
+(2886.7347*Cleaned_Data!I300)
+(11024.99051*Cleaned_Data!L300)
+(-8375.710551*Cleaned_Data!O300)
+(4929.586703*Cleaned_Data!P300)
+(-17042.83335*Cleaned_Data!Q300)</f>
        <v>618876.04879972711</v>
      </c>
      <c r="C102" s="28">
        <f>A102-B102</f>
        <v>-19858.718799727154</v>
      </c>
    </row>
    <row r="103" spans="1:3">
      <c r="A103">
        <v>706285.52</v>
      </c>
      <c r="B103">
        <f>98015.50529
+(1.202273376*Cleaned_Data!E167)
+(33.98425653*Cleaned_Data!F167)
+(2886.7347*Cleaned_Data!I167)
+(11024.99051*Cleaned_Data!L167)
+(-8375.710551*Cleaned_Data!O167)
+(4929.586703*Cleaned_Data!P167)
+(-17042.83335*Cleaned_Data!Q167)</f>
        <v>725624.46086811076</v>
      </c>
      <c r="C103" s="28">
        <f>A103-B103</f>
        <v>-19338.940868110745</v>
      </c>
    </row>
    <row r="104" spans="1:3">
      <c r="A104">
        <v>761835.34</v>
      </c>
      <c r="B104">
        <f>98015.50529
+(1.202273376*Cleaned_Data!E7)
+(33.98425653*Cleaned_Data!F7)
+(2886.7347*Cleaned_Data!I7)
+(11024.99051*Cleaned_Data!L7)
+(-8375.710551*Cleaned_Data!O7)
+(4929.586703*Cleaned_Data!P7)
+(-17042.83335*Cleaned_Data!Q7)</f>
        <v>781035.32601310511</v>
      </c>
      <c r="C104" s="28">
        <f>A104-B104</f>
        <v>-19199.986013105139</v>
      </c>
    </row>
    <row r="105" spans="1:3">
      <c r="A105">
        <v>602002.31999999995</v>
      </c>
      <c r="B105">
        <f>98015.50529
+(1.202273376*Cleaned_Data!E159)
+(33.98425653*Cleaned_Data!F159)
+(2886.7347*Cleaned_Data!I159)
+(11024.99051*Cleaned_Data!L159)
+(-8375.710551*Cleaned_Data!O159)
+(4929.586703*Cleaned_Data!P159)
+(-17042.83335*Cleaned_Data!Q159)</f>
        <v>620985.51657235809</v>
      </c>
      <c r="C105" s="28">
        <f>A105-B105</f>
        <v>-18983.196572358138</v>
      </c>
    </row>
    <row r="106" spans="1:3">
      <c r="A106">
        <v>697155.3</v>
      </c>
      <c r="B106">
        <f>98015.50529
+(1.202273376*Cleaned_Data!E129)
+(33.98425653*Cleaned_Data!F129)
+(2886.7347*Cleaned_Data!I129)
+(11024.99051*Cleaned_Data!L129)
+(-8375.710551*Cleaned_Data!O129)
+(4929.586703*Cleaned_Data!P129)
+(-17042.83335*Cleaned_Data!Q129)</f>
        <v>715998.69582814607</v>
      </c>
      <c r="C106" s="28">
        <f>A106-B106</f>
        <v>-18843.395828146022</v>
      </c>
    </row>
    <row r="107" spans="1:3">
      <c r="A107">
        <v>633009.53</v>
      </c>
      <c r="B107">
        <f>98015.50529
+(1.202273376*Cleaned_Data!E287)
+(33.98425653*Cleaned_Data!F287)
+(2886.7347*Cleaned_Data!I287)
+(11024.99051*Cleaned_Data!L287)
+(-8375.710551*Cleaned_Data!O287)
+(4929.586703*Cleaned_Data!P287)
+(-17042.83335*Cleaned_Data!Q287)</f>
        <v>650692.56200704665</v>
      </c>
      <c r="C107" s="28">
        <f>A107-B107</f>
        <v>-17683.032007046626</v>
      </c>
    </row>
    <row r="108" spans="1:3">
      <c r="A108">
        <v>785028.25</v>
      </c>
      <c r="B108">
        <f>98015.50529
+(1.202273376*Cleaned_Data!E154)
+(33.98425653*Cleaned_Data!F154)
+(2886.7347*Cleaned_Data!I154)
+(11024.99051*Cleaned_Data!L154)
+(-8375.710551*Cleaned_Data!O154)
+(4929.586703*Cleaned_Data!P154)
+(-17042.83335*Cleaned_Data!Q154)</f>
        <v>802595.68573661649</v>
      </c>
      <c r="C108" s="28">
        <f>A108-B108</f>
        <v>-17567.435736616491</v>
      </c>
    </row>
    <row r="109" spans="1:3">
      <c r="A109">
        <v>723060.76</v>
      </c>
      <c r="B109">
        <f>98015.50529
+(1.202273376*Cleaned_Data!E12)
+(33.98425653*Cleaned_Data!F12)
+(2886.7347*Cleaned_Data!I12)
+(11024.99051*Cleaned_Data!L12)
+(-8375.710551*Cleaned_Data!O12)
+(4929.586703*Cleaned_Data!P12)
+(-17042.83335*Cleaned_Data!Q12)</f>
        <v>739357.22875372902</v>
      </c>
      <c r="C109" s="28">
        <f>A109-B109</f>
        <v>-16296.468753729016</v>
      </c>
    </row>
    <row r="110" spans="1:3">
      <c r="A110">
        <v>714942.43</v>
      </c>
      <c r="B110">
        <f>98015.50529
+(1.202273376*Cleaned_Data!E118)
+(33.98425653*Cleaned_Data!F118)
+(2886.7347*Cleaned_Data!I118)
+(11024.99051*Cleaned_Data!L118)
+(-8375.710551*Cleaned_Data!O118)
+(4929.586703*Cleaned_Data!P118)
+(-17042.83335*Cleaned_Data!Q118)</f>
        <v>730838.16945696261</v>
      </c>
      <c r="C110" s="28">
        <f>A110-B110</f>
        <v>-15895.739456962561</v>
      </c>
    </row>
    <row r="111" spans="1:3">
      <c r="A111">
        <v>692008.64</v>
      </c>
      <c r="B111">
        <f>98015.50529
+(1.202273376*Cleaned_Data!E165)
+(33.98425653*Cleaned_Data!F165)
+(2886.7347*Cleaned_Data!I165)
+(11024.99051*Cleaned_Data!L165)
+(-8375.710551*Cleaned_Data!O165)
+(4929.586703*Cleaned_Data!P165)
+(-17042.83335*Cleaned_Data!Q165)</f>
        <v>707299.70539776306</v>
      </c>
      <c r="C111" s="28">
        <f>A111-B111</f>
        <v>-15291.065397763043</v>
      </c>
    </row>
    <row r="112" spans="1:3">
      <c r="A112">
        <v>811771.14</v>
      </c>
      <c r="B112">
        <f>98015.50529
+(1.202273376*Cleaned_Data!E26)
+(33.98425653*Cleaned_Data!F26)
+(2886.7347*Cleaned_Data!I26)
+(11024.99051*Cleaned_Data!L26)
+(-8375.710551*Cleaned_Data!O26)
+(4929.586703*Cleaned_Data!P26)
+(-17042.83335*Cleaned_Data!Q26)</f>
        <v>826883.74912886554</v>
      </c>
      <c r="C112" s="28">
        <f>A112-B112</f>
        <v>-15112.60912886553</v>
      </c>
    </row>
    <row r="113" spans="1:3">
      <c r="A113">
        <v>479050.5</v>
      </c>
      <c r="B113">
        <f>98015.50529
+(1.202273376*Cleaned_Data!E71)
+(33.98425653*Cleaned_Data!F71)
+(2886.7347*Cleaned_Data!I71)
+(11024.99051*Cleaned_Data!L71)
+(-8375.710551*Cleaned_Data!O71)
+(4929.586703*Cleaned_Data!P71)
+(-17042.83335*Cleaned_Data!Q71)</f>
        <v>494061.25290272722</v>
      </c>
      <c r="C113" s="28">
        <f>A113-B113</f>
        <v>-15010.752902727225</v>
      </c>
    </row>
    <row r="114" spans="1:3">
      <c r="A114">
        <v>703812.99</v>
      </c>
      <c r="B114">
        <f>98015.50529
+(1.202273376*Cleaned_Data!E302)
+(33.98425653*Cleaned_Data!F302)
+(2886.7347*Cleaned_Data!I302)
+(11024.99051*Cleaned_Data!L302)
+(-8375.710551*Cleaned_Data!O302)
+(4929.586703*Cleaned_Data!P302)
+(-17042.83335*Cleaned_Data!Q302)</f>
        <v>718759.95269299403</v>
      </c>
      <c r="C114" s="28">
        <f>A114-B114</f>
        <v>-14946.962692994042</v>
      </c>
    </row>
    <row r="115" spans="1:3">
      <c r="A115">
        <v>572011.19999999995</v>
      </c>
      <c r="B115">
        <f>98015.50529
+(1.202273376*Cleaned_Data!E64)
+(33.98425653*Cleaned_Data!F64)
+(2886.7347*Cleaned_Data!I64)
+(11024.99051*Cleaned_Data!L64)
+(-8375.710551*Cleaned_Data!O64)
+(4929.586703*Cleaned_Data!P64)
+(-17042.83335*Cleaned_Data!Q64)</f>
        <v>586576.67192375939</v>
      </c>
      <c r="C115" s="28">
        <f>A115-B115</f>
        <v>-14565.47192375944</v>
      </c>
    </row>
    <row r="116" spans="1:3">
      <c r="A116">
        <v>756619.77</v>
      </c>
      <c r="B116">
        <f>98015.50529
+(1.202273376*Cleaned_Data!E280)
+(33.98425653*Cleaned_Data!F280)
+(2886.7347*Cleaned_Data!I280)
+(11024.99051*Cleaned_Data!L280)
+(-8375.710551*Cleaned_Data!O280)
+(4929.586703*Cleaned_Data!P280)
+(-17042.83335*Cleaned_Data!Q280)</f>
        <v>770956.11388378823</v>
      </c>
      <c r="C116" s="28">
        <f>A116-B116</f>
        <v>-14336.343883788213</v>
      </c>
    </row>
    <row r="117" spans="1:3">
      <c r="A117">
        <v>643657.47</v>
      </c>
      <c r="B117">
        <f>98015.50529
+(1.202273376*Cleaned_Data!E78)
+(33.98425653*Cleaned_Data!F78)
+(2886.7347*Cleaned_Data!I78)
+(11024.99051*Cleaned_Data!L78)
+(-8375.710551*Cleaned_Data!O78)
+(4929.586703*Cleaned_Data!P78)
+(-17042.83335*Cleaned_Data!Q78)</f>
        <v>657424.80227791565</v>
      </c>
      <c r="C117" s="28">
        <f>A117-B117</f>
        <v>-13767.332277915673</v>
      </c>
    </row>
    <row r="118" spans="1:3">
      <c r="A118">
        <v>679731.57</v>
      </c>
      <c r="B118">
        <f>98015.50529
+(1.202273376*Cleaned_Data!E173)
+(33.98425653*Cleaned_Data!F173)
+(2886.7347*Cleaned_Data!I173)
+(11024.99051*Cleaned_Data!L173)
+(-8375.710551*Cleaned_Data!O173)
+(4929.586703*Cleaned_Data!P173)
+(-17042.83335*Cleaned_Data!Q173)</f>
        <v>693415.67044690775</v>
      </c>
      <c r="C118" s="28">
        <f>A118-B118</f>
        <v>-13684.100446907803</v>
      </c>
    </row>
    <row r="119" spans="1:3">
      <c r="A119">
        <v>611924.27</v>
      </c>
      <c r="B119">
        <f>98015.50529
+(1.202273376*Cleaned_Data!E195)
+(33.98425653*Cleaned_Data!F195)
+(2886.7347*Cleaned_Data!I195)
+(11024.99051*Cleaned_Data!L195)
+(-8375.710551*Cleaned_Data!O195)
+(4929.586703*Cleaned_Data!P195)
+(-17042.83335*Cleaned_Data!Q195)</f>
        <v>625266.77851405973</v>
      </c>
      <c r="C119" s="28">
        <f>A119-B119</f>
        <v>-13342.508514059708</v>
      </c>
    </row>
    <row r="120" spans="1:3">
      <c r="A120">
        <v>450711.92</v>
      </c>
      <c r="B120">
        <f>98015.50529
+(1.202273376*Cleaned_Data!E89)
+(33.98425653*Cleaned_Data!F89)
+(2886.7347*Cleaned_Data!I89)
+(11024.99051*Cleaned_Data!L89)
+(-8375.710551*Cleaned_Data!O89)
+(4929.586703*Cleaned_Data!P89)
+(-17042.83335*Cleaned_Data!Q89)</f>
        <v>463803.27272177627</v>
      </c>
      <c r="C120" s="28">
        <f>A120-B120</f>
        <v>-13091.352721776289</v>
      </c>
    </row>
    <row r="121" spans="1:3">
      <c r="A121">
        <v>527681.56000000006</v>
      </c>
      <c r="B121">
        <f>98015.50529
+(1.202273376*Cleaned_Data!E228)
+(33.98425653*Cleaned_Data!F228)
+(2886.7347*Cleaned_Data!I228)
+(11024.99051*Cleaned_Data!L228)
+(-8375.710551*Cleaned_Data!O228)
+(4929.586703*Cleaned_Data!P228)
+(-17042.83335*Cleaned_Data!Q228)</f>
        <v>540734.53357105958</v>
      </c>
      <c r="C121" s="28">
        <f>A121-B121</f>
        <v>-13052.973571059527</v>
      </c>
    </row>
    <row r="122" spans="1:3">
      <c r="A122">
        <v>811452.72</v>
      </c>
      <c r="B122">
        <f>98015.50529
+(1.202273376*Cleaned_Data!E133)
+(33.98425653*Cleaned_Data!F133)
+(2886.7347*Cleaned_Data!I133)
+(11024.99051*Cleaned_Data!L133)
+(-8375.710551*Cleaned_Data!O133)
+(4929.586703*Cleaned_Data!P133)
+(-17042.83335*Cleaned_Data!Q133)</f>
        <v>824109.0215148608</v>
      </c>
      <c r="C122" s="28">
        <f>A122-B122</f>
        <v>-12656.301514860825</v>
      </c>
    </row>
    <row r="123" spans="1:3">
      <c r="A123">
        <v>746501.09</v>
      </c>
      <c r="B123">
        <f>98015.50529
+(1.202273376*Cleaned_Data!E16)
+(33.98425653*Cleaned_Data!F16)
+(2886.7347*Cleaned_Data!I16)
+(11024.99051*Cleaned_Data!L16)
+(-8375.710551*Cleaned_Data!O16)
+(4929.586703*Cleaned_Data!P16)
+(-17042.83335*Cleaned_Data!Q16)</f>
        <v>759039.74316955579</v>
      </c>
      <c r="C123" s="28">
        <f>A123-B123</f>
        <v>-12538.653169555822</v>
      </c>
    </row>
    <row r="124" spans="1:3">
      <c r="A124">
        <v>500173.02</v>
      </c>
      <c r="B124">
        <f>98015.50529
+(1.202273376*Cleaned_Data!E32)
+(33.98425653*Cleaned_Data!F32)
+(2886.7347*Cleaned_Data!I32)
+(11024.99051*Cleaned_Data!L32)
+(-8375.710551*Cleaned_Data!O32)
+(4929.586703*Cleaned_Data!P32)
+(-17042.83335*Cleaned_Data!Q32)</f>
        <v>512684.52433322009</v>
      </c>
      <c r="C124" s="28">
        <f>A124-B124</f>
        <v>-12511.504333220073</v>
      </c>
    </row>
    <row r="125" spans="1:3">
      <c r="A125">
        <v>650795.49</v>
      </c>
      <c r="B125">
        <f>98015.50529
+(1.202273376*Cleaned_Data!E205)
+(33.98425653*Cleaned_Data!F205)
+(2886.7347*Cleaned_Data!I205)
+(11024.99051*Cleaned_Data!L205)
+(-8375.710551*Cleaned_Data!O205)
+(4929.586703*Cleaned_Data!P205)
+(-17042.83335*Cleaned_Data!Q205)</f>
        <v>662612.17402959929</v>
      </c>
      <c r="C125" s="28">
        <f>A125-B125</f>
        <v>-11816.684029599302</v>
      </c>
    </row>
    <row r="126" spans="1:3">
      <c r="A126">
        <v>804264</v>
      </c>
      <c r="B126">
        <f>98015.50529
+(1.202273376*Cleaned_Data!E177)
+(33.98425653*Cleaned_Data!F177)
+(2886.7347*Cleaned_Data!I177)
+(11024.99051*Cleaned_Data!L177)
+(-8375.710551*Cleaned_Data!O177)
+(4929.586703*Cleaned_Data!P177)
+(-17042.83335*Cleaned_Data!Q177)</f>
        <v>815514.81785620144</v>
      </c>
      <c r="C126" s="28">
        <f>A126-B126</f>
        <v>-11250.817856201436</v>
      </c>
    </row>
    <row r="127" spans="1:3">
      <c r="A127">
        <v>443275.59</v>
      </c>
      <c r="B127">
        <f>98015.50529
+(1.202273376*Cleaned_Data!E192)
+(33.98425653*Cleaned_Data!F192)
+(2886.7347*Cleaned_Data!I192)
+(11024.99051*Cleaned_Data!L192)
+(-8375.710551*Cleaned_Data!O192)
+(4929.586703*Cleaned_Data!P192)
+(-17042.83335*Cleaned_Data!Q192)</f>
        <v>454066.83707069082</v>
      </c>
      <c r="C127" s="28">
        <f>A127-B127</f>
        <v>-10791.247070690792</v>
      </c>
    </row>
    <row r="128" spans="1:3">
      <c r="A128">
        <v>497439.82</v>
      </c>
      <c r="B128">
        <f>98015.50529
+(1.202273376*Cleaned_Data!E285)
+(33.98425653*Cleaned_Data!F285)
+(2886.7347*Cleaned_Data!I285)
+(11024.99051*Cleaned_Data!L285)
+(-8375.710551*Cleaned_Data!O285)
+(4929.586703*Cleaned_Data!P285)
+(-17042.83335*Cleaned_Data!Q285)</f>
        <v>508018.56887894298</v>
      </c>
      <c r="C128" s="28">
        <f>A128-B128</f>
        <v>-10578.748878942977</v>
      </c>
    </row>
    <row r="129" spans="1:3">
      <c r="A129">
        <v>702068.92</v>
      </c>
      <c r="B129">
        <f>98015.50529
+(1.202273376*Cleaned_Data!E293)
+(33.98425653*Cleaned_Data!F293)
+(2886.7347*Cleaned_Data!I293)
+(11024.99051*Cleaned_Data!L293)
+(-8375.710551*Cleaned_Data!O293)
+(4929.586703*Cleaned_Data!P293)
+(-17042.83335*Cleaned_Data!Q293)</f>
        <v>711918.92617584218</v>
      </c>
      <c r="C129" s="28">
        <f>A129-B129</f>
        <v>-9850.0061758421361</v>
      </c>
    </row>
    <row r="130" spans="1:3">
      <c r="A130">
        <v>810355.02</v>
      </c>
      <c r="B130">
        <f>98015.50529
+(1.202273376*Cleaned_Data!E239)
+(33.98425653*Cleaned_Data!F239)
+(2886.7347*Cleaned_Data!I239)
+(11024.99051*Cleaned_Data!L239)
+(-8375.710551*Cleaned_Data!O239)
+(4929.586703*Cleaned_Data!P239)
+(-17042.83335*Cleaned_Data!Q239)</f>
        <v>820135.37301392318</v>
      </c>
      <c r="C130" s="28">
        <f>A130-B130</f>
        <v>-9780.3530139231589</v>
      </c>
    </row>
    <row r="131" spans="1:3">
      <c r="A131">
        <v>761077.08</v>
      </c>
      <c r="B131">
        <f>98015.50529
+(1.202273376*Cleaned_Data!E184)
+(33.98425653*Cleaned_Data!F184)
+(2886.7347*Cleaned_Data!I184)
+(11024.99051*Cleaned_Data!L184)
+(-8375.710551*Cleaned_Data!O184)
+(4929.586703*Cleaned_Data!P184)
+(-17042.83335*Cleaned_Data!Q184)</f>
        <v>770820.74120499648</v>
      </c>
      <c r="C131" s="28">
        <f>A131-B131</f>
        <v>-9743.6612049965188</v>
      </c>
    </row>
    <row r="132" spans="1:3">
      <c r="A132">
        <v>498970.32</v>
      </c>
      <c r="B132">
        <f>98015.50529
+(1.202273376*Cleaned_Data!E296)
+(33.98425653*Cleaned_Data!F296)
+(2886.7347*Cleaned_Data!I296)
+(11024.99051*Cleaned_Data!L296)
+(-8375.710551*Cleaned_Data!O296)
+(4929.586703*Cleaned_Data!P296)
+(-17042.83335*Cleaned_Data!Q296)</f>
        <v>508389.30091405177</v>
      </c>
      <c r="C132" s="28">
        <f>A132-B132</f>
        <v>-9418.9809140517609</v>
      </c>
    </row>
    <row r="133" spans="1:3">
      <c r="A133">
        <v>726776.22</v>
      </c>
      <c r="B133">
        <f>98015.50529
+(1.202273376*Cleaned_Data!E320)
+(33.98425653*Cleaned_Data!F320)
+(2886.7347*Cleaned_Data!I320)
+(11024.99051*Cleaned_Data!L320)
+(-8375.710551*Cleaned_Data!O320)
+(4929.586703*Cleaned_Data!P320)
+(-17042.83335*Cleaned_Data!Q320)</f>
        <v>735924.31440246024</v>
      </c>
      <c r="C133" s="28">
        <f>A133-B133</f>
        <v>-9148.094402460265</v>
      </c>
    </row>
    <row r="134" spans="1:3">
      <c r="A134">
        <v>614596.31999999995</v>
      </c>
      <c r="B134">
        <f>98015.50529
+(1.202273376*Cleaned_Data!E88)
+(33.98425653*Cleaned_Data!F88)
+(2886.7347*Cleaned_Data!I88)
+(11024.99051*Cleaned_Data!L88)
+(-8375.710551*Cleaned_Data!O88)
+(4929.586703*Cleaned_Data!P88)
+(-17042.83335*Cleaned_Data!Q88)</f>
        <v>623687.49171526823</v>
      </c>
      <c r="C134" s="28">
        <f>A134-B134</f>
        <v>-9091.1717152682832</v>
      </c>
    </row>
    <row r="135" spans="1:3">
      <c r="A135">
        <v>691113.62</v>
      </c>
      <c r="B135">
        <f>98015.50529
+(1.202273376*Cleaned_Data!E98)
+(33.98425653*Cleaned_Data!F98)
+(2886.7347*Cleaned_Data!I98)
+(11024.99051*Cleaned_Data!L98)
+(-8375.710551*Cleaned_Data!O98)
+(4929.586703*Cleaned_Data!P98)
+(-17042.83335*Cleaned_Data!Q98)</f>
        <v>700011.11766758829</v>
      </c>
      <c r="C135" s="28">
        <f>A135-B135</f>
        <v>-8897.4976675882936</v>
      </c>
    </row>
    <row r="136" spans="1:3">
      <c r="A136">
        <v>635837.74</v>
      </c>
      <c r="B136">
        <f>98015.50529
+(1.202273376*Cleaned_Data!E276)
+(33.98425653*Cleaned_Data!F276)
+(2886.7347*Cleaned_Data!I276)
+(11024.99051*Cleaned_Data!L276)
+(-8375.710551*Cleaned_Data!O276)
+(4929.586703*Cleaned_Data!P276)
+(-17042.83335*Cleaned_Data!Q276)</f>
        <v>644695.73477325495</v>
      </c>
      <c r="C136" s="28">
        <f>A136-B136</f>
        <v>-8857.9947732549626</v>
      </c>
    </row>
    <row r="137" spans="1:3">
      <c r="A137">
        <v>836908.24</v>
      </c>
      <c r="B137">
        <f>98015.50529
+(1.202273376*Cleaned_Data!E217)
+(33.98425653*Cleaned_Data!F217)
+(2886.7347*Cleaned_Data!I217)
+(11024.99051*Cleaned_Data!L217)
+(-8375.710551*Cleaned_Data!O217)
+(4929.586703*Cleaned_Data!P217)
+(-17042.83335*Cleaned_Data!Q217)</f>
        <v>845641.64732833998</v>
      </c>
      <c r="C137" s="28">
        <f>A137-B137</f>
        <v>-8733.4073283399921</v>
      </c>
    </row>
    <row r="138" spans="1:3">
      <c r="A138">
        <v>609949</v>
      </c>
      <c r="B138">
        <f>98015.50529
+(1.202273376*Cleaned_Data!E288)
+(33.98425653*Cleaned_Data!F288)
+(2886.7347*Cleaned_Data!I288)
+(11024.99051*Cleaned_Data!L288)
+(-8375.710551*Cleaned_Data!O288)
+(4929.586703*Cleaned_Data!P288)
+(-17042.83335*Cleaned_Data!Q288)</f>
        <v>617914.77881753084</v>
      </c>
      <c r="C138" s="28">
        <f>A138-B138</f>
        <v>-7965.7788175308378</v>
      </c>
    </row>
    <row r="139" spans="1:3">
      <c r="A139">
        <v>633494.21</v>
      </c>
      <c r="B139">
        <f>98015.50529
+(1.202273376*Cleaned_Data!E112)
+(33.98425653*Cleaned_Data!F112)
+(2886.7347*Cleaned_Data!I112)
+(11024.99051*Cleaned_Data!L112)
+(-8375.710551*Cleaned_Data!O112)
+(4929.586703*Cleaned_Data!P112)
+(-17042.83335*Cleaned_Data!Q112)</f>
        <v>641413.01406764239</v>
      </c>
      <c r="C139" s="28">
        <f>A139-B139</f>
        <v>-7918.804067642428</v>
      </c>
    </row>
    <row r="140" spans="1:3">
      <c r="A140">
        <v>819660.59</v>
      </c>
      <c r="B140">
        <f>98015.50529
+(1.202273376*Cleaned_Data!E185)
+(33.98425653*Cleaned_Data!F185)
+(2886.7347*Cleaned_Data!I185)
+(11024.99051*Cleaned_Data!L185)
+(-8375.710551*Cleaned_Data!O185)
+(4929.586703*Cleaned_Data!P185)
+(-17042.83335*Cleaned_Data!Q185)</f>
        <v>826983.06732274883</v>
      </c>
      <c r="C140" s="28">
        <f>A140-B140</f>
        <v>-7322.4773227488622</v>
      </c>
    </row>
    <row r="141" spans="1:3">
      <c r="A141">
        <v>730890.01</v>
      </c>
      <c r="B141">
        <f>98015.50529
+(1.202273376*Cleaned_Data!E304)
+(33.98425653*Cleaned_Data!F304)
+(2886.7347*Cleaned_Data!I304)
+(11024.99051*Cleaned_Data!L304)
+(-8375.710551*Cleaned_Data!O304)
+(4929.586703*Cleaned_Data!P304)
+(-17042.83335*Cleaned_Data!Q304)</f>
        <v>737983.65614903998</v>
      </c>
      <c r="C141" s="28">
        <f>A141-B141</f>
        <v>-7093.646149039967</v>
      </c>
    </row>
    <row r="142" spans="1:3">
      <c r="A142">
        <v>708985.19</v>
      </c>
      <c r="B142">
        <f>98015.50529
+(1.202273376*Cleaned_Data!E266)
+(33.98425653*Cleaned_Data!F266)
+(2886.7347*Cleaned_Data!I266)
+(11024.99051*Cleaned_Data!L266)
+(-8375.710551*Cleaned_Data!O266)
+(4929.586703*Cleaned_Data!P266)
+(-17042.83335*Cleaned_Data!Q266)</f>
        <v>715922.39786934829</v>
      </c>
      <c r="C142" s="28">
        <f>A142-B142</f>
        <v>-6937.207869348349</v>
      </c>
    </row>
    <row r="143" spans="1:3">
      <c r="A143">
        <v>946833.54</v>
      </c>
      <c r="B143">
        <f>98015.50529
+(1.202273376*Cleaned_Data!E212)
+(33.98425653*Cleaned_Data!F212)
+(2886.7347*Cleaned_Data!I212)
+(11024.99051*Cleaned_Data!L212)
+(-8375.710551*Cleaned_Data!O212)
+(4929.586703*Cleaned_Data!P212)
+(-17042.83335*Cleaned_Data!Q212)</f>
        <v>953665.77519676171</v>
      </c>
      <c r="C143" s="28">
        <f>A143-B143</f>
        <v>-6832.2351967616705</v>
      </c>
    </row>
    <row r="144" spans="1:3">
      <c r="A144">
        <v>783672.82</v>
      </c>
      <c r="B144">
        <f>98015.50529
+(1.202273376*Cleaned_Data!E28)
+(33.98425653*Cleaned_Data!F28)
+(2886.7347*Cleaned_Data!I28)
+(11024.99051*Cleaned_Data!L28)
+(-8375.710551*Cleaned_Data!O28)
+(4929.586703*Cleaned_Data!P28)
+(-17042.83335*Cleaned_Data!Q28)</f>
        <v>790420.01051062543</v>
      </c>
      <c r="C144" s="28">
        <f>A144-B144</f>
        <v>-6747.1905106254853</v>
      </c>
    </row>
    <row r="145" spans="1:3">
      <c r="A145">
        <v>593247.25</v>
      </c>
      <c r="B145">
        <f>98015.50529
+(1.202273376*Cleaned_Data!E136)
+(33.98425653*Cleaned_Data!F136)
+(2886.7347*Cleaned_Data!I136)
+(11024.99051*Cleaned_Data!L136)
+(-8375.710551*Cleaned_Data!O136)
+(4929.586703*Cleaned_Data!P136)
+(-17042.83335*Cleaned_Data!Q136)</f>
        <v>599938.03491571918</v>
      </c>
      <c r="C145" s="28">
        <f>A145-B145</f>
        <v>-6690.7849157191813</v>
      </c>
    </row>
    <row r="146" spans="1:3">
      <c r="A146">
        <v>642751.42000000004</v>
      </c>
      <c r="B146">
        <f>98015.50529
+(1.202273376*Cleaned_Data!E251)
+(33.98425653*Cleaned_Data!F251)
+(2886.7347*Cleaned_Data!I251)
+(11024.99051*Cleaned_Data!L251)
+(-8375.710551*Cleaned_Data!O251)
+(4929.586703*Cleaned_Data!P251)
+(-17042.83335*Cleaned_Data!Q251)</f>
        <v>649068.76103923889</v>
      </c>
      <c r="C146" s="28">
        <f>A146-B146</f>
        <v>-6317.3410392388469</v>
      </c>
    </row>
    <row r="147" spans="1:3">
      <c r="A147">
        <v>559422.02</v>
      </c>
      <c r="B147">
        <f>98015.50529
+(1.202273376*Cleaned_Data!E196)
+(33.98425653*Cleaned_Data!F196)
+(2886.7347*Cleaned_Data!I196)
+(11024.99051*Cleaned_Data!L196)
+(-8375.710551*Cleaned_Data!O196)
+(4929.586703*Cleaned_Data!P196)
+(-17042.83335*Cleaned_Data!Q196)</f>
        <v>565717.28924191778</v>
      </c>
      <c r="C147" s="28">
        <f>A147-B147</f>
        <v>-6295.269241917762</v>
      </c>
    </row>
    <row r="148" spans="1:3">
      <c r="A148">
        <v>761963.23</v>
      </c>
      <c r="B148">
        <f>98015.50529
+(1.202273376*Cleaned_Data!E213)
+(33.98425653*Cleaned_Data!F213)
+(2886.7347*Cleaned_Data!I213)
+(11024.99051*Cleaned_Data!L213)
+(-8375.710551*Cleaned_Data!O213)
+(4929.586703*Cleaned_Data!P213)
+(-17042.83335*Cleaned_Data!Q213)</f>
        <v>768134.73945787211</v>
      </c>
      <c r="C148" s="28">
        <f>A148-B148</f>
        <v>-6171.5094578721328</v>
      </c>
    </row>
    <row r="149" spans="1:3">
      <c r="A149">
        <v>670629.48</v>
      </c>
      <c r="B149">
        <f>98015.50529
+(1.202273376*Cleaned_Data!E237)
+(33.98425653*Cleaned_Data!F237)
+(2886.7347*Cleaned_Data!I237)
+(11024.99051*Cleaned_Data!L237)
+(-8375.710551*Cleaned_Data!O237)
+(4929.586703*Cleaned_Data!P237)
+(-17042.83335*Cleaned_Data!Q237)</f>
        <v>676665.74731178663</v>
      </c>
      <c r="C149" s="28">
        <f>A149-B149</f>
        <v>-6036.2673117866507</v>
      </c>
    </row>
    <row r="150" spans="1:3">
      <c r="A150">
        <v>798952.17</v>
      </c>
      <c r="B150">
        <f>98015.50529
+(1.202273376*Cleaned_Data!E36)
+(33.98425653*Cleaned_Data!F36)
+(2886.7347*Cleaned_Data!I36)
+(11024.99051*Cleaned_Data!L36)
+(-8375.710551*Cleaned_Data!O36)
+(4929.586703*Cleaned_Data!P36)
+(-17042.83335*Cleaned_Data!Q36)</f>
        <v>804678.59407482902</v>
      </c>
      <c r="C150" s="28">
        <f>A150-B150</f>
        <v>-5726.424074828974</v>
      </c>
    </row>
    <row r="151" spans="1:3">
      <c r="A151">
        <v>751393.88</v>
      </c>
      <c r="B151">
        <f>98015.50529
+(1.202273376*Cleaned_Data!E183)
+(33.98425653*Cleaned_Data!F183)
+(2886.7347*Cleaned_Data!I183)
+(11024.99051*Cleaned_Data!L183)
+(-8375.710551*Cleaned_Data!O183)
+(4929.586703*Cleaned_Data!P183)
+(-17042.83335*Cleaned_Data!Q183)</f>
        <v>757085.01722403814</v>
      </c>
      <c r="C151" s="28">
        <f>A151-B151</f>
        <v>-5691.1372240381315</v>
      </c>
    </row>
    <row r="152" spans="1:3">
      <c r="A152">
        <v>779010.94</v>
      </c>
      <c r="B152">
        <f>98015.50529
+(1.202273376*Cleaned_Data!E11)
+(33.98425653*Cleaned_Data!F11)
+(2886.7347*Cleaned_Data!I11)
+(11024.99051*Cleaned_Data!L11)
+(-8375.710551*Cleaned_Data!O11)
+(4929.586703*Cleaned_Data!P11)
+(-17042.83335*Cleaned_Data!Q11)</f>
        <v>784689.30782556359</v>
      </c>
      <c r="C152" s="28">
        <f>A152-B152</f>
        <v>-5678.3678255636478</v>
      </c>
    </row>
    <row r="153" spans="1:3">
      <c r="A153">
        <v>736633.4</v>
      </c>
      <c r="B153">
        <f>98015.50529
+(1.202273376*Cleaned_Data!E40)
+(33.98425653*Cleaned_Data!F40)
+(2886.7347*Cleaned_Data!I40)
+(11024.99051*Cleaned_Data!L40)
+(-8375.710551*Cleaned_Data!O40)
+(4929.586703*Cleaned_Data!P40)
+(-17042.83335*Cleaned_Data!Q40)</f>
        <v>742308.81400419388</v>
      </c>
      <c r="C153" s="28">
        <f>A153-B153</f>
        <v>-5675.4140041938517</v>
      </c>
    </row>
    <row r="154" spans="1:3">
      <c r="A154">
        <v>761919.25</v>
      </c>
      <c r="B154">
        <f>98015.50529
+(1.202273376*Cleaned_Data!E240)
+(33.98425653*Cleaned_Data!F240)
+(2886.7347*Cleaned_Data!I240)
+(11024.99051*Cleaned_Data!L240)
+(-8375.710551*Cleaned_Data!O240)
+(4929.586703*Cleaned_Data!P240)
+(-17042.83335*Cleaned_Data!Q240)</f>
        <v>767553.89470628882</v>
      </c>
      <c r="C154" s="28">
        <f>A154-B154</f>
        <v>-5634.6447062888183</v>
      </c>
    </row>
    <row r="155" spans="1:3">
      <c r="A155">
        <v>605775.32999999996</v>
      </c>
      <c r="B155">
        <f>98015.50529
+(1.202273376*Cleaned_Data!E100)
+(33.98425653*Cleaned_Data!F100)
+(2886.7347*Cleaned_Data!I100)
+(11024.99051*Cleaned_Data!L100)
+(-8375.710551*Cleaned_Data!O100)
+(4929.586703*Cleaned_Data!P100)
+(-17042.83335*Cleaned_Data!Q100)</f>
        <v>611088.34352781286</v>
      </c>
      <c r="C155" s="28">
        <f>A155-B155</f>
        <v>-5313.0135278129019</v>
      </c>
    </row>
    <row r="156" spans="1:3">
      <c r="A156">
        <v>605751.32999999996</v>
      </c>
      <c r="B156">
        <f>98015.50529
+(1.202273376*Cleaned_Data!E263)
+(33.98425653*Cleaned_Data!F263)
+(2886.7347*Cleaned_Data!I263)
+(11024.99051*Cleaned_Data!L263)
+(-8375.710551*Cleaned_Data!O263)
+(4929.586703*Cleaned_Data!P263)
+(-17042.83335*Cleaned_Data!Q263)</f>
        <v>610923.35407995328</v>
      </c>
      <c r="C156" s="28">
        <f>A156-B156</f>
        <v>-5172.0240799533203</v>
      </c>
    </row>
    <row r="157" spans="1:3">
      <c r="A157">
        <v>855341.28</v>
      </c>
      <c r="B157">
        <f>98015.50529
+(1.202273376*Cleaned_Data!E182)
+(33.98425653*Cleaned_Data!F182)
+(2886.7347*Cleaned_Data!I182)
+(11024.99051*Cleaned_Data!L182)
+(-8375.710551*Cleaned_Data!O182)
+(4929.586703*Cleaned_Data!P182)
+(-17042.83335*Cleaned_Data!Q182)</f>
        <v>860492.48584030743</v>
      </c>
      <c r="C157" s="28">
        <f>A157-B157</f>
        <v>-5151.2058403074043</v>
      </c>
    </row>
    <row r="158" spans="1:3">
      <c r="A158">
        <v>598904.9</v>
      </c>
      <c r="B158">
        <f>98015.50529
+(1.202273376*Cleaned_Data!E202)
+(33.98425653*Cleaned_Data!F202)
+(2886.7347*Cleaned_Data!I202)
+(11024.99051*Cleaned_Data!L202)
+(-8375.710551*Cleaned_Data!O202)
+(4929.586703*Cleaned_Data!P202)
+(-17042.83335*Cleaned_Data!Q202)</f>
        <v>603953.17934170167</v>
      </c>
      <c r="C158" s="28">
        <f>A158-B158</f>
        <v>-5048.279341701651</v>
      </c>
    </row>
    <row r="159" spans="1:3">
      <c r="A159">
        <v>565810.99</v>
      </c>
      <c r="B159">
        <f>98015.50529
+(1.202273376*Cleaned_Data!E25)
+(33.98425653*Cleaned_Data!F25)
+(2886.7347*Cleaned_Data!I25)
+(11024.99051*Cleaned_Data!L25)
+(-8375.710551*Cleaned_Data!O25)
+(4929.586703*Cleaned_Data!P25)
+(-17042.83335*Cleaned_Data!Q25)</f>
        <v>570739.98101100174</v>
      </c>
      <c r="C159" s="28">
        <f>A159-B159</f>
        <v>-4928.9910110017518</v>
      </c>
    </row>
    <row r="160" spans="1:3">
      <c r="A160">
        <v>601568.87</v>
      </c>
      <c r="B160">
        <f>98015.50529
+(1.202273376*Cleaned_Data!E148)
+(33.98425653*Cleaned_Data!F148)
+(2886.7347*Cleaned_Data!I148)
+(11024.99051*Cleaned_Data!L148)
+(-8375.710551*Cleaned_Data!O148)
+(4929.586703*Cleaned_Data!P148)
+(-17042.83335*Cleaned_Data!Q148)</f>
        <v>606494.08089860925</v>
      </c>
      <c r="C160" s="28">
        <f>A160-B160</f>
        <v>-4925.2108986092499</v>
      </c>
    </row>
    <row r="161" spans="1:3">
      <c r="A161">
        <v>746115.59</v>
      </c>
      <c r="B161">
        <f>98015.50529
+(1.202273376*Cleaned_Data!E260)
+(33.98425653*Cleaned_Data!F260)
+(2886.7347*Cleaned_Data!I260)
+(11024.99051*Cleaned_Data!L260)
+(-8375.710551*Cleaned_Data!O260)
+(4929.586703*Cleaned_Data!P260)
+(-17042.83335*Cleaned_Data!Q260)</f>
        <v>750592.07435203181</v>
      </c>
      <c r="C161" s="28">
        <f>A161-B161</f>
        <v>-4476.4843520318391</v>
      </c>
    </row>
    <row r="162" spans="1:3">
      <c r="A162">
        <v>640666.53</v>
      </c>
      <c r="B162">
        <f>98015.50529
+(1.202273376*Cleaned_Data!E236)
+(33.98425653*Cleaned_Data!F236)
+(2886.7347*Cleaned_Data!I236)
+(11024.99051*Cleaned_Data!L236)
+(-8375.710551*Cleaned_Data!O236)
+(4929.586703*Cleaned_Data!P236)
+(-17042.83335*Cleaned_Data!Q236)</f>
        <v>643472.08778379892</v>
      </c>
      <c r="C162" s="28">
        <f>A162-B162</f>
        <v>-2805.5577837988967</v>
      </c>
    </row>
    <row r="163" spans="1:3">
      <c r="A163">
        <v>647953.78</v>
      </c>
      <c r="B163">
        <f>98015.50529
+(1.202273376*Cleaned_Data!E252)
+(33.98425653*Cleaned_Data!F252)
+(2886.7347*Cleaned_Data!I252)
+(11024.99051*Cleaned_Data!L252)
+(-8375.710551*Cleaned_Data!O252)
+(4929.586703*Cleaned_Data!P252)
+(-17042.83335*Cleaned_Data!Q252)</f>
        <v>649897.10113263573</v>
      </c>
      <c r="C163" s="28">
        <f>A163-B163</f>
        <v>-1943.3211326356977</v>
      </c>
    </row>
    <row r="164" spans="1:3">
      <c r="A164">
        <v>668459.37</v>
      </c>
      <c r="B164">
        <f>98015.50529
+(1.202273376*Cleaned_Data!E298)
+(33.98425653*Cleaned_Data!F298)
+(2886.7347*Cleaned_Data!I298)
+(11024.99051*Cleaned_Data!L298)
+(-8375.710551*Cleaned_Data!O298)
+(4929.586703*Cleaned_Data!P298)
+(-17042.83335*Cleaned_Data!Q298)</f>
        <v>670370.02174919448</v>
      </c>
      <c r="C164" s="28">
        <f>A164-B164</f>
        <v>-1910.6517491944833</v>
      </c>
    </row>
    <row r="165" spans="1:3">
      <c r="A165">
        <v>825060.52</v>
      </c>
      <c r="B165">
        <f>98015.50529
+(1.202273376*Cleaned_Data!E206)
+(33.98425653*Cleaned_Data!F206)
+(2886.7347*Cleaned_Data!I206)
+(11024.99051*Cleaned_Data!L206)
+(-8375.710551*Cleaned_Data!O206)
+(4929.586703*Cleaned_Data!P206)
+(-17042.83335*Cleaned_Data!Q206)</f>
        <v>826736.55742939271</v>
      </c>
      <c r="C165" s="28">
        <f>A165-B165</f>
        <v>-1676.037429392687</v>
      </c>
    </row>
    <row r="166" spans="1:3">
      <c r="A166">
        <v>700078.32</v>
      </c>
      <c r="B166">
        <f>98015.50529
+(1.202273376*Cleaned_Data!E158)
+(33.98425653*Cleaned_Data!F158)
+(2886.7347*Cleaned_Data!I158)
+(11024.99051*Cleaned_Data!L158)
+(-8375.710551*Cleaned_Data!O158)
+(4929.586703*Cleaned_Data!P158)
+(-17042.83335*Cleaned_Data!Q158)</f>
        <v>701359.40854847466</v>
      </c>
      <c r="C166" s="28">
        <f>A166-B166</f>
        <v>-1281.0885484747123</v>
      </c>
    </row>
    <row r="167" spans="1:3">
      <c r="A167">
        <v>665534.69999999995</v>
      </c>
      <c r="B167">
        <f>98015.50529
+(1.202273376*Cleaned_Data!E168)
+(33.98425653*Cleaned_Data!F168)
+(2886.7347*Cleaned_Data!I168)
+(11024.99051*Cleaned_Data!L168)
+(-8375.710551*Cleaned_Data!O168)
+(4929.586703*Cleaned_Data!P168)
+(-17042.83335*Cleaned_Data!Q168)</f>
        <v>666659.77577194944</v>
      </c>
      <c r="C167" s="28">
        <f>A167-B167</f>
        <v>-1125.0757719494868</v>
      </c>
    </row>
    <row r="168" spans="1:3">
      <c r="A168">
        <v>570964.84</v>
      </c>
      <c r="B168">
        <f>98015.50529
+(1.202273376*Cleaned_Data!E149)
+(33.98425653*Cleaned_Data!F149)
+(2886.7347*Cleaned_Data!I149)
+(11024.99051*Cleaned_Data!L149)
+(-8375.710551*Cleaned_Data!O149)
+(4929.586703*Cleaned_Data!P149)
+(-17042.83335*Cleaned_Data!Q149)</f>
        <v>571570.11952492245</v>
      </c>
      <c r="C168" s="28">
        <f>A168-B168</f>
        <v>-605.27952492248733</v>
      </c>
    </row>
    <row r="169" spans="1:3">
      <c r="A169">
        <v>679888.74</v>
      </c>
      <c r="B169">
        <f>98015.50529
+(1.202273376*Cleaned_Data!E249)
+(33.98425653*Cleaned_Data!F249)
+(2886.7347*Cleaned_Data!I249)
+(11024.99051*Cleaned_Data!L249)
+(-8375.710551*Cleaned_Data!O249)
+(4929.586703*Cleaned_Data!P249)
+(-17042.83335*Cleaned_Data!Q249)</f>
        <v>680126.51210481371</v>
      </c>
      <c r="C169" s="28">
        <f>A169-B169</f>
        <v>-237.77210481371731</v>
      </c>
    </row>
    <row r="170" spans="1:3">
      <c r="A170">
        <v>702318.94</v>
      </c>
      <c r="B170">
        <f>98015.50529
+(1.202273376*Cleaned_Data!E157)
+(33.98425653*Cleaned_Data!F157)
+(2886.7347*Cleaned_Data!I157)
+(11024.99051*Cleaned_Data!L157)
+(-8375.710551*Cleaned_Data!O157)
+(4929.586703*Cleaned_Data!P157)
+(-17042.83335*Cleaned_Data!Q157)</f>
        <v>702353.14906601061</v>
      </c>
      <c r="C170" s="28">
        <f>A170-B170</f>
        <v>-34.209066010662355</v>
      </c>
    </row>
    <row r="171" spans="1:3">
      <c r="A171">
        <v>801830.35</v>
      </c>
      <c r="B171">
        <f>98015.50529
+(1.202273376*Cleaned_Data!E131)
+(33.98425653*Cleaned_Data!F131)
+(2886.7347*Cleaned_Data!I131)
+(11024.99051*Cleaned_Data!L131)
+(-8375.710551*Cleaned_Data!O131)
+(4929.586703*Cleaned_Data!P131)
+(-17042.83335*Cleaned_Data!Q131)</f>
        <v>801821.31357827981</v>
      </c>
      <c r="C171" s="27">
        <f>A171-B171</f>
        <v>9.0364217201713473</v>
      </c>
    </row>
    <row r="172" spans="1:3">
      <c r="A172">
        <v>783797.89</v>
      </c>
      <c r="B172">
        <f>98015.50529
+(1.202273376*Cleaned_Data!E107)
+(33.98425653*Cleaned_Data!F107)
+(2886.7347*Cleaned_Data!I107)
+(11024.99051*Cleaned_Data!L107)
+(-8375.710551*Cleaned_Data!O107)
+(4929.586703*Cleaned_Data!P107)
+(-17042.83335*Cleaned_Data!Q107)</f>
        <v>782866.13433765562</v>
      </c>
      <c r="C172" s="27">
        <f>A172-B172</f>
        <v>931.75566234439611</v>
      </c>
    </row>
    <row r="173" spans="1:3">
      <c r="A173">
        <v>616069.41</v>
      </c>
      <c r="B173">
        <f>98015.50529
+(1.202273376*Cleaned_Data!E74)
+(33.98425653*Cleaned_Data!F74)
+(2886.7347*Cleaned_Data!I74)
+(11024.99051*Cleaned_Data!L74)
+(-8375.710551*Cleaned_Data!O74)
+(4929.586703*Cleaned_Data!P74)
+(-17042.83335*Cleaned_Data!Q74)</f>
        <v>614725.43902986892</v>
      </c>
      <c r="C173" s="27">
        <f>A173-B173</f>
        <v>1343.9709701311076</v>
      </c>
    </row>
    <row r="174" spans="1:3">
      <c r="A174">
        <v>500298.48</v>
      </c>
      <c r="B174">
        <f>98015.50529
+(1.202273376*Cleaned_Data!E59)
+(33.98425653*Cleaned_Data!F59)
+(2886.7347*Cleaned_Data!I59)
+(11024.99051*Cleaned_Data!L59)
+(-8375.710551*Cleaned_Data!O59)
+(4929.586703*Cleaned_Data!P59)
+(-17042.83335*Cleaned_Data!Q59)</f>
        <v>498049.24664712569</v>
      </c>
      <c r="C174" s="27">
        <f>A174-B174</f>
        <v>2249.2333528742893</v>
      </c>
    </row>
    <row r="175" spans="1:3">
      <c r="A175">
        <v>665594.93999999994</v>
      </c>
      <c r="B175">
        <f>98015.50529
+(1.202273376*Cleaned_Data!E109)
+(33.98425653*Cleaned_Data!F109)
+(2886.7347*Cleaned_Data!I109)
+(11024.99051*Cleaned_Data!L109)
+(-8375.710551*Cleaned_Data!O109)
+(4929.586703*Cleaned_Data!P109)
+(-17042.83335*Cleaned_Data!Q109)</f>
        <v>663288.51118670334</v>
      </c>
      <c r="C175" s="27">
        <f>A175-B175</f>
        <v>2306.428813296603</v>
      </c>
    </row>
    <row r="176" spans="1:3">
      <c r="A176">
        <v>528852.62</v>
      </c>
      <c r="B176">
        <f>98015.50529
+(1.202273376*Cleaned_Data!E262)
+(33.98425653*Cleaned_Data!F262)
+(2886.7347*Cleaned_Data!I262)
+(11024.99051*Cleaned_Data!L262)
+(-8375.710551*Cleaned_Data!O262)
+(4929.586703*Cleaned_Data!P262)
+(-17042.83335*Cleaned_Data!Q262)</f>
        <v>525998.89047620317</v>
      </c>
      <c r="C176" s="27">
        <f>A176-B176</f>
        <v>2853.729523796821</v>
      </c>
    </row>
    <row r="177" spans="1:3">
      <c r="A177">
        <v>799756.46</v>
      </c>
      <c r="B177">
        <f>98015.50529
+(1.202273376*Cleaned_Data!E272)
+(33.98425653*Cleaned_Data!F272)
+(2886.7347*Cleaned_Data!I272)
+(11024.99051*Cleaned_Data!L272)
+(-8375.710551*Cleaned_Data!O272)
+(4929.586703*Cleaned_Data!P272)
+(-17042.83335*Cleaned_Data!Q272)</f>
        <v>796648.43677889288</v>
      </c>
      <c r="C177" s="27">
        <f>A177-B177</f>
        <v>3108.0232211070834</v>
      </c>
    </row>
    <row r="178" spans="1:3">
      <c r="A178">
        <v>712546.38</v>
      </c>
      <c r="B178">
        <f>98015.50529
+(1.202273376*Cleaned_Data!E189)
+(33.98425653*Cleaned_Data!F189)
+(2886.7347*Cleaned_Data!I189)
+(11024.99051*Cleaned_Data!L189)
+(-8375.710551*Cleaned_Data!O189)
+(4929.586703*Cleaned_Data!P189)
+(-17042.83335*Cleaned_Data!Q189)</f>
        <v>709231.53392444493</v>
      </c>
      <c r="C178" s="27">
        <f>A178-B178</f>
        <v>3314.8460755550768</v>
      </c>
    </row>
    <row r="179" spans="1:3">
      <c r="A179">
        <v>712868.35</v>
      </c>
      <c r="B179">
        <f>98015.50529
+(1.202273376*Cleaned_Data!E151)
+(33.98425653*Cleaned_Data!F151)
+(2886.7347*Cleaned_Data!I151)
+(11024.99051*Cleaned_Data!L151)
+(-8375.710551*Cleaned_Data!O151)
+(4929.586703*Cleaned_Data!P151)
+(-17042.83335*Cleaned_Data!Q151)</f>
        <v>708647.56342394743</v>
      </c>
      <c r="C179" s="27">
        <f>A179-B179</f>
        <v>4220.7865760525456</v>
      </c>
    </row>
    <row r="180" spans="1:3">
      <c r="A180">
        <v>574436.29</v>
      </c>
      <c r="B180">
        <f>98015.50529
+(1.202273376*Cleaned_Data!E86)
+(33.98425653*Cleaned_Data!F86)
+(2886.7347*Cleaned_Data!I86)
+(11024.99051*Cleaned_Data!L86)
+(-8375.710551*Cleaned_Data!O86)
+(4929.586703*Cleaned_Data!P86)
+(-17042.83335*Cleaned_Data!Q86)</f>
        <v>570202.08910318941</v>
      </c>
      <c r="C180" s="27">
        <f>A180-B180</f>
        <v>4234.2008968106238</v>
      </c>
    </row>
    <row r="181" spans="1:3">
      <c r="A181">
        <v>533121.26</v>
      </c>
      <c r="B181">
        <f>98015.50529
+(1.202273376*Cleaned_Data!E295)
+(33.98425653*Cleaned_Data!F295)
+(2886.7347*Cleaned_Data!I295)
+(11024.99051*Cleaned_Data!L295)
+(-8375.710551*Cleaned_Data!O295)
+(4929.586703*Cleaned_Data!P295)
+(-17042.83335*Cleaned_Data!Q295)</f>
        <v>528723.33514466288</v>
      </c>
      <c r="C181" s="27">
        <f>A181-B181</f>
        <v>4397.924855337129</v>
      </c>
    </row>
    <row r="182" spans="1:3">
      <c r="A182">
        <v>724346.73</v>
      </c>
      <c r="B182">
        <f>98015.50529
+(1.202273376*Cleaned_Data!E303)
+(33.98425653*Cleaned_Data!F303)
+(2886.7347*Cleaned_Data!I303)
+(11024.99051*Cleaned_Data!L303)
+(-8375.710551*Cleaned_Data!O303)
+(4929.586703*Cleaned_Data!P303)
+(-17042.83335*Cleaned_Data!Q303)</f>
        <v>719327.32801881456</v>
      </c>
      <c r="C182" s="27">
        <f>A182-B182</f>
        <v>5019.4019811854232</v>
      </c>
    </row>
    <row r="183" spans="1:3">
      <c r="A183">
        <v>646559.71</v>
      </c>
      <c r="B183">
        <f>98015.50529
+(1.202273376*Cleaned_Data!E141)
+(33.98425653*Cleaned_Data!F141)
+(2886.7347*Cleaned_Data!I141)
+(11024.99051*Cleaned_Data!L141)
+(-8375.710551*Cleaned_Data!O141)
+(4929.586703*Cleaned_Data!P141)
+(-17042.83335*Cleaned_Data!Q141)</f>
        <v>641319.99315149325</v>
      </c>
      <c r="C183" s="27">
        <f>A183-B183</f>
        <v>5239.7168485067086</v>
      </c>
    </row>
    <row r="184" spans="1:3">
      <c r="A184">
        <v>732667.92</v>
      </c>
      <c r="B184">
        <f>98015.50529
+(1.202273376*Cleaned_Data!E224)
+(33.98425653*Cleaned_Data!F224)
+(2886.7347*Cleaned_Data!I224)
+(11024.99051*Cleaned_Data!L224)
+(-8375.710551*Cleaned_Data!O224)
+(4929.586703*Cleaned_Data!P224)
+(-17042.83335*Cleaned_Data!Q224)</f>
        <v>726619.41844541032</v>
      </c>
      <c r="C184" s="27">
        <f>A184-B184</f>
        <v>6048.5015545897186</v>
      </c>
    </row>
    <row r="185" spans="1:3">
      <c r="A185">
        <v>764949</v>
      </c>
      <c r="B185">
        <f>98015.50529
+(1.202273376*Cleaned_Data!E254)
+(33.98425653*Cleaned_Data!F254)
+(2886.7347*Cleaned_Data!I254)
+(11024.99051*Cleaned_Data!L254)
+(-8375.710551*Cleaned_Data!O254)
+(4929.586703*Cleaned_Data!P254)
+(-17042.83335*Cleaned_Data!Q254)</f>
        <v>758353.64621533686</v>
      </c>
      <c r="C185" s="27">
        <f>A185-B185</f>
        <v>6595.353784663137</v>
      </c>
    </row>
    <row r="186" spans="1:3">
      <c r="A186">
        <v>622892.42000000004</v>
      </c>
      <c r="B186">
        <f>98015.50529
+(1.202273376*Cleaned_Data!E219)
+(33.98425653*Cleaned_Data!F219)
+(2886.7347*Cleaned_Data!I219)
+(11024.99051*Cleaned_Data!L219)
+(-8375.710551*Cleaned_Data!O219)
+(4929.586703*Cleaned_Data!P219)
+(-17042.83335*Cleaned_Data!Q219)</f>
        <v>616115.46415974607</v>
      </c>
      <c r="C186" s="27">
        <f>A186-B186</f>
        <v>6776.9558402539697</v>
      </c>
    </row>
    <row r="187" spans="1:3">
      <c r="A187">
        <v>740496.65</v>
      </c>
      <c r="B187">
        <f>98015.50529
+(1.202273376*Cleaned_Data!E69)
+(33.98425653*Cleaned_Data!F69)
+(2886.7347*Cleaned_Data!I69)
+(11024.99051*Cleaned_Data!L69)
+(-8375.710551*Cleaned_Data!O69)
+(4929.586703*Cleaned_Data!P69)
+(-17042.83335*Cleaned_Data!Q69)</f>
        <v>732953.71427899832</v>
      </c>
      <c r="C187" s="27">
        <f>A187-B187</f>
        <v>7542.9357210017042</v>
      </c>
    </row>
    <row r="188" spans="1:3">
      <c r="A188">
        <v>585365.73</v>
      </c>
      <c r="B188">
        <f>98015.50529
+(1.202273376*Cleaned_Data!E49)
+(33.98425653*Cleaned_Data!F49)
+(2886.7347*Cleaned_Data!I49)
+(11024.99051*Cleaned_Data!L49)
+(-8375.710551*Cleaned_Data!O49)
+(4929.586703*Cleaned_Data!P49)
+(-17042.83335*Cleaned_Data!Q49)</f>
        <v>577490.79180182377</v>
      </c>
      <c r="C188" s="27">
        <f>A188-B188</f>
        <v>7874.9381981762126</v>
      </c>
    </row>
    <row r="189" spans="1:3">
      <c r="A189">
        <v>828623.85</v>
      </c>
      <c r="B189">
        <f>98015.50529
+(1.202273376*Cleaned_Data!E41)
+(33.98425653*Cleaned_Data!F41)
+(2886.7347*Cleaned_Data!I41)
+(11024.99051*Cleaned_Data!L41)
+(-8375.710551*Cleaned_Data!O41)
+(4929.586703*Cleaned_Data!P41)
+(-17042.83335*Cleaned_Data!Q41)</f>
        <v>819644.0990143934</v>
      </c>
      <c r="C189" s="27">
        <f>A189-B189</f>
        <v>8979.7509856065735</v>
      </c>
    </row>
    <row r="190" spans="1:3">
      <c r="A190">
        <v>603297.56999999995</v>
      </c>
      <c r="B190">
        <f>98015.50529
+(1.202273376*Cleaned_Data!E51)
+(33.98425653*Cleaned_Data!F51)
+(2886.7347*Cleaned_Data!I51)
+(11024.99051*Cleaned_Data!L51)
+(-8375.710551*Cleaned_Data!O51)
+(4929.586703*Cleaned_Data!P51)
+(-17042.83335*Cleaned_Data!Q51)</f>
        <v>593996.75501550909</v>
      </c>
      <c r="C190" s="27">
        <f>A190-B190</f>
        <v>9300.8149844908621</v>
      </c>
    </row>
    <row r="191" spans="1:3">
      <c r="A191">
        <v>645039.97</v>
      </c>
      <c r="B191">
        <f>98015.50529
+(1.202273376*Cleaned_Data!E274)
+(33.98425653*Cleaned_Data!F274)
+(2886.7347*Cleaned_Data!I274)
+(11024.99051*Cleaned_Data!L274)
+(-8375.710551*Cleaned_Data!O274)
+(4929.586703*Cleaned_Data!P274)
+(-17042.83335*Cleaned_Data!Q274)</f>
        <v>635592.38231467584</v>
      </c>
      <c r="C191" s="27">
        <f>A191-B191</f>
        <v>9447.5876853241352</v>
      </c>
    </row>
    <row r="192" spans="1:3">
      <c r="A192">
        <v>672670.54</v>
      </c>
      <c r="B192">
        <f>98015.50529
+(1.202273376*Cleaned_Data!E223)
+(33.98425653*Cleaned_Data!F223)
+(2886.7347*Cleaned_Data!I223)
+(11024.99051*Cleaned_Data!L223)
+(-8375.710551*Cleaned_Data!O223)
+(4929.586703*Cleaned_Data!P223)
+(-17042.83335*Cleaned_Data!Q223)</f>
        <v>663155.93660402461</v>
      </c>
      <c r="C192" s="27">
        <f>A192-B192</f>
        <v>9514.6033959754277</v>
      </c>
    </row>
    <row r="193" spans="1:3">
      <c r="A193">
        <v>771129.07</v>
      </c>
      <c r="B193">
        <f>98015.50529
+(1.202273376*Cleaned_Data!E313)
+(33.98425653*Cleaned_Data!F313)
+(2886.7347*Cleaned_Data!I313)
+(11024.99051*Cleaned_Data!L313)
+(-8375.710551*Cleaned_Data!O313)
+(4929.586703*Cleaned_Data!P313)
+(-17042.83335*Cleaned_Data!Q313)</f>
        <v>760678.16444240406</v>
      </c>
      <c r="C193" s="27">
        <f>A193-B193</f>
        <v>10450.905557595892</v>
      </c>
    </row>
    <row r="194" spans="1:3">
      <c r="A194">
        <v>701641.97</v>
      </c>
      <c r="B194">
        <f>98015.50529
+(1.202273376*Cleaned_Data!E29)
+(33.98425653*Cleaned_Data!F29)
+(2886.7347*Cleaned_Data!I29)
+(11024.99051*Cleaned_Data!L29)
+(-8375.710551*Cleaned_Data!O29)
+(4929.586703*Cleaned_Data!P29)
+(-17042.83335*Cleaned_Data!Q29)</f>
        <v>690717.27807636769</v>
      </c>
      <c r="C194" s="27">
        <f>A194-B194</f>
        <v>10924.691923632286</v>
      </c>
    </row>
    <row r="195" spans="1:3">
      <c r="A195">
        <v>537383.79</v>
      </c>
      <c r="B195">
        <f>98015.50529
+(1.202273376*Cleaned_Data!E31)
+(33.98425653*Cleaned_Data!F31)
+(2886.7347*Cleaned_Data!I31)
+(11024.99051*Cleaned_Data!L31)
+(-8375.710551*Cleaned_Data!O31)
+(4929.586703*Cleaned_Data!P31)
+(-17042.83335*Cleaned_Data!Q31)</f>
        <v>524917.50233944051</v>
      </c>
      <c r="C195" s="27">
        <f>A195-B195</f>
        <v>12466.287660559523</v>
      </c>
    </row>
    <row r="196" spans="1:3">
      <c r="A196">
        <v>737070.18</v>
      </c>
      <c r="B196">
        <f>98015.50529
+(1.202273376*Cleaned_Data!E241)
+(33.98425653*Cleaned_Data!F241)
+(2886.7347*Cleaned_Data!I241)
+(11024.99051*Cleaned_Data!L241)
+(-8375.710551*Cleaned_Data!O241)
+(4929.586703*Cleaned_Data!P241)
+(-17042.83335*Cleaned_Data!Q241)</f>
        <v>724104.42548400559</v>
      </c>
      <c r="C196" s="27">
        <f>A196-B196</f>
        <v>12965.754515994457</v>
      </c>
    </row>
    <row r="197" spans="1:3">
      <c r="A197">
        <v>536845.42000000004</v>
      </c>
      <c r="B197">
        <f>98015.50529
+(1.202273376*Cleaned_Data!E319)
+(33.98425653*Cleaned_Data!F319)
+(2886.7347*Cleaned_Data!I319)
+(11024.99051*Cleaned_Data!L319)
+(-8375.710551*Cleaned_Data!O319)
+(4929.586703*Cleaned_Data!P319)
+(-17042.83335*Cleaned_Data!Q319)</f>
        <v>523650.1558284706</v>
      </c>
      <c r="C197" s="27">
        <f>A197-B197</f>
        <v>13195.264171529445</v>
      </c>
    </row>
    <row r="198" spans="1:3">
      <c r="A198">
        <v>820729.29</v>
      </c>
      <c r="B198">
        <f>98015.50529
+(1.202273376*Cleaned_Data!E169)
+(33.98425653*Cleaned_Data!F169)
+(2886.7347*Cleaned_Data!I169)
+(11024.99051*Cleaned_Data!L169)
+(-8375.710551*Cleaned_Data!O169)
+(4929.586703*Cleaned_Data!P169)
+(-17042.83335*Cleaned_Data!Q169)</f>
        <v>807447.24645790469</v>
      </c>
      <c r="C198" s="27">
        <f>A198-B198</f>
        <v>13282.043542095344</v>
      </c>
    </row>
    <row r="199" spans="1:3">
      <c r="A199">
        <v>698492.67</v>
      </c>
      <c r="B199">
        <f>98015.50529
+(1.202273376*Cleaned_Data!E155)
+(33.98425653*Cleaned_Data!F155)
+(2886.7347*Cleaned_Data!I155)
+(11024.99051*Cleaned_Data!L155)
+(-8375.710551*Cleaned_Data!O155)
+(4929.586703*Cleaned_Data!P155)
+(-17042.83335*Cleaned_Data!Q155)</f>
        <v>684873.48800585594</v>
      </c>
      <c r="C199" s="27">
        <f>A199-B199</f>
        <v>13619.181994144106</v>
      </c>
    </row>
    <row r="200" spans="1:3">
      <c r="A200">
        <v>697888.09</v>
      </c>
      <c r="B200">
        <f>98015.50529
+(1.202273376*Cleaned_Data!E259)
+(33.98425653*Cleaned_Data!F259)
+(2886.7347*Cleaned_Data!I259)
+(11024.99051*Cleaned_Data!L259)
+(-8375.710551*Cleaned_Data!O259)
+(4929.586703*Cleaned_Data!P259)
+(-17042.83335*Cleaned_Data!Q259)</f>
        <v>684259.46165469172</v>
      </c>
      <c r="C200" s="27">
        <f>A200-B200</f>
        <v>13628.628345308243</v>
      </c>
    </row>
    <row r="201" spans="1:3">
      <c r="A201">
        <v>487738.26</v>
      </c>
      <c r="B201">
        <f>98015.50529
+(1.202273376*Cleaned_Data!E297)
+(33.98425653*Cleaned_Data!F297)
+(2886.7347*Cleaned_Data!I297)
+(11024.99051*Cleaned_Data!L297)
+(-8375.710551*Cleaned_Data!O297)
+(4929.586703*Cleaned_Data!P297)
+(-17042.83335*Cleaned_Data!Q297)</f>
        <v>474051.0689293833</v>
      </c>
      <c r="C201" s="27">
        <f>A201-B201</f>
        <v>13687.191070616711</v>
      </c>
    </row>
    <row r="202" spans="1:3">
      <c r="A202">
        <v>555929.4</v>
      </c>
      <c r="B202">
        <f>98015.50529
+(1.202273376*Cleaned_Data!E24)
+(33.98425653*Cleaned_Data!F24)
+(2886.7347*Cleaned_Data!I24)
+(11024.99051*Cleaned_Data!L24)
+(-8375.710551*Cleaned_Data!O24)
+(4929.586703*Cleaned_Data!P24)
+(-17042.83335*Cleaned_Data!Q24)</f>
        <v>542206.96907646116</v>
      </c>
      <c r="C202" s="27">
        <f>A202-B202</f>
        <v>13722.430923538865</v>
      </c>
    </row>
    <row r="203" spans="1:3">
      <c r="A203">
        <v>828219.67</v>
      </c>
      <c r="B203">
        <f>98015.50529
+(1.202273376*Cleaned_Data!E244)
+(33.98425653*Cleaned_Data!F244)
+(2886.7347*Cleaned_Data!I244)
+(11024.99051*Cleaned_Data!L244)
+(-8375.710551*Cleaned_Data!O244)
+(4929.586703*Cleaned_Data!P244)
+(-17042.83335*Cleaned_Data!Q244)</f>
        <v>813873.55233666475</v>
      </c>
      <c r="C203" s="27">
        <f>A203-B203</f>
        <v>14346.117663335288</v>
      </c>
    </row>
    <row r="204" spans="1:3">
      <c r="A204">
        <v>592195.85</v>
      </c>
      <c r="B204">
        <f>98015.50529
+(1.202273376*Cleaned_Data!E42)
+(33.98425653*Cleaned_Data!F42)
+(2886.7347*Cleaned_Data!I42)
+(11024.99051*Cleaned_Data!L42)
+(-8375.710551*Cleaned_Data!O42)
+(4929.586703*Cleaned_Data!P42)
+(-17042.83335*Cleaned_Data!Q42)</f>
        <v>577329.6680004854</v>
      </c>
      <c r="C204" s="27">
        <f>A204-B204</f>
        <v>14866.181999514578</v>
      </c>
    </row>
    <row r="205" spans="1:3">
      <c r="A205">
        <v>780344.18</v>
      </c>
      <c r="B205">
        <f>98015.50529
+(1.202273376*Cleaned_Data!E174)
+(33.98425653*Cleaned_Data!F174)
+(2886.7347*Cleaned_Data!I174)
+(11024.99051*Cleaned_Data!L174)
+(-8375.710551*Cleaned_Data!O174)
+(4929.586703*Cleaned_Data!P174)
+(-17042.83335*Cleaned_Data!Q174)</f>
        <v>765352.94065780914</v>
      </c>
      <c r="C205" s="27">
        <f>A205-B205</f>
        <v>14991.239342190907</v>
      </c>
    </row>
    <row r="206" spans="1:3">
      <c r="A206">
        <v>695098.51</v>
      </c>
      <c r="B206">
        <f>98015.50529
+(1.202273376*Cleaned_Data!E145)
+(33.98425653*Cleaned_Data!F145)
+(2886.7347*Cleaned_Data!I145)
+(11024.99051*Cleaned_Data!L145)
+(-8375.710551*Cleaned_Data!O145)
+(4929.586703*Cleaned_Data!P145)
+(-17042.83335*Cleaned_Data!Q145)</f>
        <v>679648.03129142325</v>
      </c>
      <c r="C206" s="27">
        <f>A206-B206</f>
        <v>15450.47870857676</v>
      </c>
    </row>
    <row r="207" spans="1:3">
      <c r="A207">
        <v>714083.68</v>
      </c>
      <c r="B207">
        <f>98015.50529
+(1.202273376*Cleaned_Data!E284)
+(33.98425653*Cleaned_Data!F284)
+(2886.7347*Cleaned_Data!I284)
+(11024.99051*Cleaned_Data!L284)
+(-8375.710551*Cleaned_Data!O284)
+(4929.586703*Cleaned_Data!P284)
+(-17042.83335*Cleaned_Data!Q284)</f>
        <v>698309.09973689541</v>
      </c>
      <c r="C207" s="27">
        <f>A207-B207</f>
        <v>15774.580263104639</v>
      </c>
    </row>
    <row r="208" spans="1:3">
      <c r="A208">
        <v>712219.81</v>
      </c>
      <c r="B208">
        <f>98015.50529
+(1.202273376*Cleaned_Data!E222)
+(33.98425653*Cleaned_Data!F222)
+(2886.7347*Cleaned_Data!I222)
+(11024.99051*Cleaned_Data!L222)
+(-8375.710551*Cleaned_Data!O222)
+(4929.586703*Cleaned_Data!P222)
+(-17042.83335*Cleaned_Data!Q222)</f>
        <v>696347.61497478653</v>
      </c>
      <c r="C208" s="27">
        <f>A208-B208</f>
        <v>15872.195025213528</v>
      </c>
    </row>
    <row r="209" spans="1:3">
      <c r="A209">
        <v>763159.92</v>
      </c>
      <c r="B209">
        <f>98015.50529
+(1.202273376*Cleaned_Data!E245)
+(33.98425653*Cleaned_Data!F245)
+(2886.7347*Cleaned_Data!I245)
+(11024.99051*Cleaned_Data!L245)
+(-8375.710551*Cleaned_Data!O245)
+(4929.586703*Cleaned_Data!P245)
+(-17042.83335*Cleaned_Data!Q245)</f>
        <v>747224.53519336379</v>
      </c>
      <c r="C209" s="27">
        <f>A209-B209</f>
        <v>15935.384806636255</v>
      </c>
    </row>
    <row r="210" spans="1:3">
      <c r="A210">
        <v>715097.57</v>
      </c>
      <c r="B210">
        <f>98015.50529
+(1.202273376*Cleaned_Data!E143)
+(33.98425653*Cleaned_Data!F143)
+(2886.7347*Cleaned_Data!I143)
+(11024.99051*Cleaned_Data!L143)
+(-8375.710551*Cleaned_Data!O143)
+(4929.586703*Cleaned_Data!P143)
+(-17042.83335*Cleaned_Data!Q143)</f>
        <v>699033.02598653024</v>
      </c>
      <c r="C210" s="27">
        <f>A210-B210</f>
        <v>16064.544013469713</v>
      </c>
    </row>
    <row r="211" spans="1:3">
      <c r="A211">
        <v>844710.67</v>
      </c>
      <c r="B211">
        <f>98015.50529
+(1.202273376*Cleaned_Data!E317)
+(33.98425653*Cleaned_Data!F317)
+(2886.7347*Cleaned_Data!I317)
+(11024.99051*Cleaned_Data!L317)
+(-8375.710551*Cleaned_Data!O317)
+(4929.586703*Cleaned_Data!P317)
+(-17042.83335*Cleaned_Data!Q317)</f>
        <v>827938.23191751132</v>
      </c>
      <c r="C211" s="27">
        <f>A211-B211</f>
        <v>16772.438082488719</v>
      </c>
    </row>
    <row r="212" spans="1:3">
      <c r="A212">
        <v>606783.67000000004</v>
      </c>
      <c r="B212">
        <f>98015.50529
+(1.202273376*Cleaned_Data!E250)
+(33.98425653*Cleaned_Data!F250)
+(2886.7347*Cleaned_Data!I250)
+(11024.99051*Cleaned_Data!L250)
+(-8375.710551*Cleaned_Data!O250)
+(4929.586703*Cleaned_Data!P250)
+(-17042.83335*Cleaned_Data!Q250)</f>
        <v>589840.39628996002</v>
      </c>
      <c r="C212" s="27">
        <f>A212-B212</f>
        <v>16943.273710040026</v>
      </c>
    </row>
    <row r="213" spans="1:3">
      <c r="A213">
        <v>810446.53</v>
      </c>
      <c r="B213">
        <f>98015.50529
+(1.202273376*Cleaned_Data!E210)
+(33.98425653*Cleaned_Data!F210)
+(2886.7347*Cleaned_Data!I210)
+(11024.99051*Cleaned_Data!L210)
+(-8375.710551*Cleaned_Data!O210)
+(4929.586703*Cleaned_Data!P210)
+(-17042.83335*Cleaned_Data!Q210)</f>
        <v>793294.54314602341</v>
      </c>
      <c r="C213" s="27">
        <f>A213-B213</f>
        <v>17151.986853976618</v>
      </c>
    </row>
    <row r="214" spans="1:3">
      <c r="A214">
        <v>712375.77</v>
      </c>
      <c r="B214">
        <f>98015.50529
+(1.202273376*Cleaned_Data!E316)
+(33.98425653*Cleaned_Data!F316)
+(2886.7347*Cleaned_Data!I316)
+(11024.99051*Cleaned_Data!L316)
+(-8375.710551*Cleaned_Data!O316)
+(4929.586703*Cleaned_Data!P316)
+(-17042.83335*Cleaned_Data!Q316)</f>
        <v>695170.83872537222</v>
      </c>
      <c r="C214" s="27">
        <f>A214-B214</f>
        <v>17204.931274627801</v>
      </c>
    </row>
    <row r="215" spans="1:3">
      <c r="A215">
        <v>678311.17</v>
      </c>
      <c r="B215">
        <f>98015.50529
+(1.202273376*Cleaned_Data!E187)
+(33.98425653*Cleaned_Data!F187)
+(2886.7347*Cleaned_Data!I187)
+(11024.99051*Cleaned_Data!L187)
+(-8375.710551*Cleaned_Data!O187)
+(4929.586703*Cleaned_Data!P187)
+(-17042.83335*Cleaned_Data!Q187)</f>
        <v>661025.60674740293</v>
      </c>
      <c r="C215" s="27">
        <f>A215-B215</f>
        <v>17285.563252597116</v>
      </c>
    </row>
    <row r="216" spans="1:3">
      <c r="A216">
        <v>729440.45</v>
      </c>
      <c r="B216">
        <f>98015.50529
+(1.202273376*Cleaned_Data!E253)
+(33.98425653*Cleaned_Data!F253)
+(2886.7347*Cleaned_Data!I253)
+(11024.99051*Cleaned_Data!L253)
+(-8375.710551*Cleaned_Data!O253)
+(4929.586703*Cleaned_Data!P253)
+(-17042.83335*Cleaned_Data!Q253)</f>
        <v>712020.19851365348</v>
      </c>
      <c r="C216" s="27">
        <f>A216-B216</f>
        <v>17420.251486346475</v>
      </c>
    </row>
    <row r="217" spans="1:3">
      <c r="A217">
        <v>739852.58</v>
      </c>
      <c r="B217">
        <f>98015.50529
+(1.202273376*Cleaned_Data!E92)
+(33.98425653*Cleaned_Data!F92)
+(2886.7347*Cleaned_Data!I92)
+(11024.99051*Cleaned_Data!L92)
+(-8375.710551*Cleaned_Data!O92)
+(4929.586703*Cleaned_Data!P92)
+(-17042.83335*Cleaned_Data!Q92)</f>
        <v>721988.62992719747</v>
      </c>
      <c r="C217" s="27">
        <f>A217-B217</f>
        <v>17863.950072802487</v>
      </c>
    </row>
    <row r="218" spans="1:3">
      <c r="A218">
        <v>750471.34</v>
      </c>
      <c r="B218">
        <f>98015.50529
+(1.202273376*Cleaned_Data!E247)
+(33.98425653*Cleaned_Data!F247)
+(2886.7347*Cleaned_Data!I247)
+(11024.99051*Cleaned_Data!L247)
+(-8375.710551*Cleaned_Data!O247)
+(4929.586703*Cleaned_Data!P247)
+(-17042.83335*Cleaned_Data!Q247)</f>
        <v>732541.79770428326</v>
      </c>
      <c r="C218" s="27">
        <f>A218-B218</f>
        <v>17929.542295716703</v>
      </c>
    </row>
    <row r="219" spans="1:3">
      <c r="A219">
        <v>606278.30000000005</v>
      </c>
      <c r="B219">
        <f>98015.50529
+(1.202273376*Cleaned_Data!E221)
+(33.98425653*Cleaned_Data!F221)
+(2886.7347*Cleaned_Data!I221)
+(11024.99051*Cleaned_Data!L221)
+(-8375.710551*Cleaned_Data!O221)
+(4929.586703*Cleaned_Data!P221)
+(-17042.83335*Cleaned_Data!Q221)</f>
        <v>588233.08874628565</v>
      </c>
      <c r="C219" s="27">
        <f>A219-B219</f>
        <v>18045.211253714398</v>
      </c>
    </row>
    <row r="220" spans="1:3">
      <c r="A220">
        <v>806615.54</v>
      </c>
      <c r="B220">
        <f>98015.50529
+(1.202273376*Cleaned_Data!E8)
+(33.98425653*Cleaned_Data!F8)
+(2886.7347*Cleaned_Data!I8)
+(11024.99051*Cleaned_Data!L8)
+(-8375.710551*Cleaned_Data!O8)
+(4929.586703*Cleaned_Data!P8)
+(-17042.83335*Cleaned_Data!Q8)</f>
        <v>788462.99734158732</v>
      </c>
      <c r="C220" s="27">
        <f>A220-B220</f>
        <v>18152.542658412713</v>
      </c>
    </row>
    <row r="221" spans="1:3">
      <c r="A221">
        <v>725847.99</v>
      </c>
      <c r="B221">
        <f>98015.50529
+(1.202273376*Cleaned_Data!E153)
+(33.98425653*Cleaned_Data!F153)
+(2886.7347*Cleaned_Data!I153)
+(11024.99051*Cleaned_Data!L153)
+(-8375.710551*Cleaned_Data!O153)
+(4929.586703*Cleaned_Data!P153)
+(-17042.83335*Cleaned_Data!Q153)</f>
        <v>707637.0372799139</v>
      </c>
      <c r="C221" s="27">
        <f>A221-B221</f>
        <v>18210.95272008609</v>
      </c>
    </row>
    <row r="222" spans="1:3">
      <c r="A222">
        <v>569100.78</v>
      </c>
      <c r="B222">
        <f>98015.50529
+(1.202273376*Cleaned_Data!E85)
+(33.98425653*Cleaned_Data!F85)
+(2886.7347*Cleaned_Data!I85)
+(11024.99051*Cleaned_Data!L85)
+(-8375.710551*Cleaned_Data!O85)
+(4929.586703*Cleaned_Data!P85)
+(-17042.83335*Cleaned_Data!Q85)</f>
        <v>550455.23034596699</v>
      </c>
      <c r="C222" s="27">
        <f>A222-B222</f>
        <v>18645.549654033035</v>
      </c>
    </row>
    <row r="223" spans="1:3">
      <c r="A223">
        <v>550962.93000000005</v>
      </c>
      <c r="B223">
        <f>98015.50529
+(1.202273376*Cleaned_Data!E191)
+(33.98425653*Cleaned_Data!F191)
+(2886.7347*Cleaned_Data!I191)
+(11024.99051*Cleaned_Data!L191)
+(-8375.710551*Cleaned_Data!O191)
+(4929.586703*Cleaned_Data!P191)
+(-17042.83335*Cleaned_Data!Q191)</f>
        <v>532071.27557240741</v>
      </c>
      <c r="C223" s="27">
        <f>A223-B223</f>
        <v>18891.654427592643</v>
      </c>
    </row>
    <row r="224" spans="1:3">
      <c r="A224">
        <v>743348.84</v>
      </c>
      <c r="B224">
        <f>98015.50529
+(1.202273376*Cleaned_Data!E139)
+(33.98425653*Cleaned_Data!F139)
+(2886.7347*Cleaned_Data!I139)
+(11024.99051*Cleaned_Data!L139)
+(-8375.710551*Cleaned_Data!O139)
+(4929.586703*Cleaned_Data!P139)
+(-17042.83335*Cleaned_Data!Q139)</f>
        <v>724230.16278446594</v>
      </c>
      <c r="C224" s="27">
        <f>A224-B224</f>
        <v>19118.67721553403</v>
      </c>
    </row>
    <row r="225" spans="1:3">
      <c r="A225">
        <v>738548.42</v>
      </c>
      <c r="B225">
        <f>98015.50529
+(1.202273376*Cleaned_Data!E279)
+(33.98425653*Cleaned_Data!F279)
+(2886.7347*Cleaned_Data!I279)
+(11024.99051*Cleaned_Data!L279)
+(-8375.710551*Cleaned_Data!O279)
+(4929.586703*Cleaned_Data!P279)
+(-17042.83335*Cleaned_Data!Q279)</f>
        <v>719288.98815457616</v>
      </c>
      <c r="C225" s="27">
        <f>A225-B225</f>
        <v>19259.431845423882</v>
      </c>
    </row>
    <row r="226" spans="1:3">
      <c r="A226">
        <v>636613.23</v>
      </c>
      <c r="B226">
        <f>98015.50529
+(1.202273376*Cleaned_Data!E265)
+(33.98425653*Cleaned_Data!F265)
+(2886.7347*Cleaned_Data!I265)
+(11024.99051*Cleaned_Data!L265)
+(-8375.710551*Cleaned_Data!O265)
+(4929.586703*Cleaned_Data!P265)
+(-17042.83335*Cleaned_Data!Q265)</f>
        <v>616827.69728242583</v>
      </c>
      <c r="C226" s="27">
        <f>A226-B226</f>
        <v>19785.532717574155</v>
      </c>
    </row>
    <row r="227" spans="1:3">
      <c r="A227">
        <v>727957.48</v>
      </c>
      <c r="B227">
        <f>98015.50529
+(1.202273376*Cleaned_Data!E306)
+(33.98425653*Cleaned_Data!F306)
+(2886.7347*Cleaned_Data!I306)
+(11024.99051*Cleaned_Data!L306)
+(-8375.710551*Cleaned_Data!O306)
+(4929.586703*Cleaned_Data!P306)
+(-17042.83335*Cleaned_Data!Q306)</f>
        <v>707957.15685993549</v>
      </c>
      <c r="C227" s="27">
        <f>A227-B227</f>
        <v>20000.323140064487</v>
      </c>
    </row>
    <row r="228" spans="1:3">
      <c r="A228">
        <v>675177.68</v>
      </c>
      <c r="B228">
        <f>98015.50529
+(1.202273376*Cleaned_Data!E101)
+(33.98425653*Cleaned_Data!F101)
+(2886.7347*Cleaned_Data!I101)
+(11024.99051*Cleaned_Data!L101)
+(-8375.710551*Cleaned_Data!O101)
+(4929.586703*Cleaned_Data!P101)
+(-17042.83335*Cleaned_Data!Q101)</f>
        <v>654935.76548724354</v>
      </c>
      <c r="C228" s="27">
        <f>A228-B228</f>
        <v>20241.914512756513</v>
      </c>
    </row>
    <row r="229" spans="1:3">
      <c r="A229">
        <v>834017.02</v>
      </c>
      <c r="B229">
        <f>98015.50529
+(1.202273376*Cleaned_Data!E17)
+(33.98425653*Cleaned_Data!F17)
+(2886.7347*Cleaned_Data!I17)
+(11024.99051*Cleaned_Data!L17)
+(-8375.710551*Cleaned_Data!O17)
+(4929.586703*Cleaned_Data!P17)
+(-17042.83335*Cleaned_Data!Q17)</f>
        <v>813746.15041697701</v>
      </c>
      <c r="C229" s="27">
        <f>A229-B229</f>
        <v>20270.869583023014</v>
      </c>
    </row>
    <row r="230" spans="1:3">
      <c r="A230">
        <v>532644.46</v>
      </c>
      <c r="B230">
        <f>98015.50529
+(1.202273376*Cleaned_Data!E43)
+(33.98425653*Cleaned_Data!F43)
+(2886.7347*Cleaned_Data!I43)
+(11024.99051*Cleaned_Data!L43)
+(-8375.710551*Cleaned_Data!O43)
+(4929.586703*Cleaned_Data!P43)
+(-17042.83335*Cleaned_Data!Q43)</f>
        <v>512263.1353081289</v>
      </c>
      <c r="C230" s="27">
        <f>A230-B230</f>
        <v>20381.324691871065</v>
      </c>
    </row>
    <row r="231" spans="1:3">
      <c r="A231">
        <v>746677.75</v>
      </c>
      <c r="B231">
        <f>98015.50529
+(1.202273376*Cleaned_Data!E55)
+(33.98425653*Cleaned_Data!F55)
+(2886.7347*Cleaned_Data!I55)
+(11024.99051*Cleaned_Data!L55)
+(-8375.710551*Cleaned_Data!O55)
+(4929.586703*Cleaned_Data!P55)
+(-17042.83335*Cleaned_Data!Q55)</f>
        <v>726027.5099464677</v>
      </c>
      <c r="C231" s="27">
        <f>A231-B231</f>
        <v>20650.240053532296</v>
      </c>
    </row>
    <row r="232" spans="1:3">
      <c r="A232">
        <v>518049.26</v>
      </c>
      <c r="B232">
        <f>98015.50529
+(1.202273376*Cleaned_Data!E58)
+(33.98425653*Cleaned_Data!F58)
+(2886.7347*Cleaned_Data!I58)
+(11024.99051*Cleaned_Data!L58)
+(-8375.710551*Cleaned_Data!O58)
+(4929.586703*Cleaned_Data!P58)
+(-17042.83335*Cleaned_Data!Q58)</f>
        <v>497319.24637598253</v>
      </c>
      <c r="C232" s="27">
        <f>A232-B232</f>
        <v>20730.013624017476</v>
      </c>
    </row>
    <row r="233" spans="1:3">
      <c r="A233">
        <v>625672.86</v>
      </c>
      <c r="B233">
        <f>98015.50529
+(1.202273376*Cleaned_Data!E52)
+(33.98425653*Cleaned_Data!F52)
+(2886.7347*Cleaned_Data!I52)
+(11024.99051*Cleaned_Data!L52)
+(-8375.710551*Cleaned_Data!O52)
+(4929.586703*Cleaned_Data!P52)
+(-17042.83335*Cleaned_Data!Q52)</f>
        <v>604419.83948278159</v>
      </c>
      <c r="C233" s="27">
        <f>A233-B233</f>
        <v>21253.020517218392</v>
      </c>
    </row>
    <row r="234" spans="1:3">
      <c r="A234">
        <v>664162.49</v>
      </c>
      <c r="B234">
        <f>98015.50529
+(1.202273376*Cleaned_Data!E111)
+(33.98425653*Cleaned_Data!F111)
+(2886.7347*Cleaned_Data!I111)
+(11024.99051*Cleaned_Data!L111)
+(-8375.710551*Cleaned_Data!O111)
+(4929.586703*Cleaned_Data!P111)
+(-17042.83335*Cleaned_Data!Q111)</f>
        <v>642697.54744018929</v>
      </c>
      <c r="C234" s="27">
        <f>A234-B234</f>
        <v>21464.942559810705</v>
      </c>
    </row>
    <row r="235" spans="1:3">
      <c r="A235">
        <v>605023.87</v>
      </c>
      <c r="B235">
        <f>98015.50529
+(1.202273376*Cleaned_Data!E72)
+(33.98425653*Cleaned_Data!F72)
+(2886.7347*Cleaned_Data!I72)
+(11024.99051*Cleaned_Data!L72)
+(-8375.710551*Cleaned_Data!O72)
+(4929.586703*Cleaned_Data!P72)
+(-17042.83335*Cleaned_Data!Q72)</f>
        <v>583374.99449415435</v>
      </c>
      <c r="C235" s="27">
        <f>A235-B235</f>
        <v>21648.875505845645</v>
      </c>
    </row>
    <row r="236" spans="1:3">
      <c r="A236">
        <v>605178</v>
      </c>
      <c r="B236">
        <f>98015.50529
+(1.202273376*Cleaned_Data!E45)
+(33.98425653*Cleaned_Data!F45)
+(2886.7347*Cleaned_Data!I45)
+(11024.99051*Cleaned_Data!L45)
+(-8375.710551*Cleaned_Data!O45)
+(4929.586703*Cleaned_Data!P45)
+(-17042.83335*Cleaned_Data!Q45)</f>
        <v>582509.67052416469</v>
      </c>
      <c r="C236" s="27">
        <f>A236-B236</f>
        <v>22668.329475835315</v>
      </c>
    </row>
    <row r="237" spans="1:3">
      <c r="A237">
        <v>536545.49</v>
      </c>
      <c r="B237">
        <f>98015.50529
+(1.202273376*Cleaned_Data!E227)
+(33.98425653*Cleaned_Data!F227)
+(2886.7347*Cleaned_Data!I227)
+(11024.99051*Cleaned_Data!L227)
+(-8375.710551*Cleaned_Data!O227)
+(4929.586703*Cleaned_Data!P227)
+(-17042.83335*Cleaned_Data!Q227)</f>
        <v>513337.57755176851</v>
      </c>
      <c r="C237" s="27">
        <f>A237-B237</f>
        <v>23207.91244823148</v>
      </c>
    </row>
    <row r="238" spans="1:3">
      <c r="A238">
        <v>812152.6</v>
      </c>
      <c r="B238">
        <f>98015.50529
+(1.202273376*Cleaned_Data!E214)
+(33.98425653*Cleaned_Data!F214)
+(2886.7347*Cleaned_Data!I214)
+(11024.99051*Cleaned_Data!L214)
+(-8375.710551*Cleaned_Data!O214)
+(4929.586703*Cleaned_Data!P214)
+(-17042.83335*Cleaned_Data!Q214)</f>
        <v>788564.063720915</v>
      </c>
      <c r="C238" s="27">
        <f>A238-B238</f>
        <v>23588.536279084976</v>
      </c>
    </row>
    <row r="239" spans="1:3">
      <c r="A239">
        <v>702052.47</v>
      </c>
      <c r="B239">
        <f>98015.50529
+(1.202273376*Cleaned_Data!E314)
+(33.98425653*Cleaned_Data!F314)
+(2886.7347*Cleaned_Data!I314)
+(11024.99051*Cleaned_Data!L314)
+(-8375.710551*Cleaned_Data!O314)
+(4929.586703*Cleaned_Data!P314)
+(-17042.83335*Cleaned_Data!Q314)</f>
        <v>678360.08343866747</v>
      </c>
      <c r="C239" s="27">
        <f>A239-B239</f>
        <v>23692.386561332503</v>
      </c>
    </row>
    <row r="240" spans="1:3">
      <c r="A240">
        <v>849018.3</v>
      </c>
      <c r="B240">
        <f>98015.50529
+(1.202273376*Cleaned_Data!E130)
+(33.98425653*Cleaned_Data!F130)
+(2886.7347*Cleaned_Data!I130)
+(11024.99051*Cleaned_Data!L130)
+(-8375.710551*Cleaned_Data!O130)
+(4929.586703*Cleaned_Data!P130)
+(-17042.83335*Cleaned_Data!Q130)</f>
        <v>824877.38839442923</v>
      </c>
      <c r="C240" s="27">
        <f>A240-B240</f>
        <v>24140.911605570815</v>
      </c>
    </row>
    <row r="241" spans="1:3">
      <c r="A241">
        <v>729424.42</v>
      </c>
      <c r="B241">
        <f>98015.50529
+(1.202273376*Cleaned_Data!E290)
+(33.98425653*Cleaned_Data!F290)
+(2886.7347*Cleaned_Data!I290)
+(11024.99051*Cleaned_Data!L290)
+(-8375.710551*Cleaned_Data!O290)
+(4929.586703*Cleaned_Data!P290)
+(-17042.83335*Cleaned_Data!Q290)</f>
        <v>704704.58539011632</v>
      </c>
      <c r="C241" s="27">
        <f>A241-B241</f>
        <v>24719.834609883721</v>
      </c>
    </row>
    <row r="242" spans="1:3">
      <c r="A242">
        <v>769702.76</v>
      </c>
      <c r="B242">
        <f>98015.50529
+(1.202273376*Cleaned_Data!E172)
+(33.98425653*Cleaned_Data!F172)
+(2886.7347*Cleaned_Data!I172)
+(11024.99051*Cleaned_Data!L172)
+(-8375.710551*Cleaned_Data!O172)
+(4929.586703*Cleaned_Data!P172)
+(-17042.83335*Cleaned_Data!Q172)</f>
        <v>744732.30673304026</v>
      </c>
      <c r="C242" s="27">
        <f>A242-B242</f>
        <v>24970.453266959754</v>
      </c>
    </row>
    <row r="243" spans="1:3">
      <c r="A243">
        <v>887537.75</v>
      </c>
      <c r="B243">
        <f>98015.50529
+(1.202273376*Cleaned_Data!E178)
+(33.98425653*Cleaned_Data!F178)
+(2886.7347*Cleaned_Data!I178)
+(11024.99051*Cleaned_Data!L178)
+(-8375.710551*Cleaned_Data!O178)
+(4929.586703*Cleaned_Data!P178)
+(-17042.83335*Cleaned_Data!Q178)</f>
        <v>861157.59060867783</v>
      </c>
      <c r="C243" s="27">
        <f>A243-B243</f>
        <v>26380.159391322173</v>
      </c>
    </row>
    <row r="244" spans="1:3">
      <c r="A244">
        <v>802001.68</v>
      </c>
      <c r="B244">
        <f>98015.50529
+(1.202273376*Cleaned_Data!E246)
+(33.98425653*Cleaned_Data!F246)
+(2886.7347*Cleaned_Data!I246)
+(11024.99051*Cleaned_Data!L246)
+(-8375.710551*Cleaned_Data!O246)
+(4929.586703*Cleaned_Data!P246)
+(-17042.83335*Cleaned_Data!Q246)</f>
        <v>775066.40566188726</v>
      </c>
      <c r="C244" s="27">
        <f>A244-B244</f>
        <v>26935.274338112795</v>
      </c>
    </row>
    <row r="245" spans="1:3">
      <c r="A245">
        <v>804975.5</v>
      </c>
      <c r="B245">
        <f>98015.50529
+(1.202273376*Cleaned_Data!E215)
+(33.98425653*Cleaned_Data!F215)
+(2886.7347*Cleaned_Data!I215)
+(11024.99051*Cleaned_Data!L215)
+(-8375.710551*Cleaned_Data!O215)
+(4929.586703*Cleaned_Data!P215)
+(-17042.83335*Cleaned_Data!Q215)</f>
        <v>777151.55692632322</v>
      </c>
      <c r="C245" s="27">
        <f>A245-B245</f>
        <v>27823.943073676783</v>
      </c>
    </row>
    <row r="246" spans="1:3">
      <c r="A246">
        <v>586307.22</v>
      </c>
      <c r="B246">
        <f>98015.50529
+(1.202273376*Cleaned_Data!E93)
+(33.98425653*Cleaned_Data!F93)
+(2886.7347*Cleaned_Data!I93)
+(11024.99051*Cleaned_Data!L93)
+(-8375.710551*Cleaned_Data!O93)
+(4929.586703*Cleaned_Data!P93)
+(-17042.83335*Cleaned_Data!Q93)</f>
        <v>558154.67209778377</v>
      </c>
      <c r="C246" s="27">
        <f>A246-B246</f>
        <v>28152.547902216204</v>
      </c>
    </row>
    <row r="247" spans="1:3">
      <c r="A247">
        <v>614800.09</v>
      </c>
      <c r="B247">
        <f>98015.50529
+(1.202273376*Cleaned_Data!E48)
+(33.98425653*Cleaned_Data!F48)
+(2886.7347*Cleaned_Data!I48)
+(11024.99051*Cleaned_Data!L48)
+(-8375.710551*Cleaned_Data!O48)
+(4929.586703*Cleaned_Data!P48)
+(-17042.83335*Cleaned_Data!Q48)</f>
        <v>585141.91902498237</v>
      </c>
      <c r="C247" s="27">
        <f>A247-B247</f>
        <v>29658.170975017594</v>
      </c>
    </row>
    <row r="248" spans="1:3">
      <c r="A248">
        <v>745580.51</v>
      </c>
      <c r="B248">
        <f>98015.50529
+(1.202273376*Cleaned_Data!E268)
+(33.98425653*Cleaned_Data!F268)
+(2886.7347*Cleaned_Data!I268)
+(11024.99051*Cleaned_Data!L268)
+(-8375.710551*Cleaned_Data!O268)
+(4929.586703*Cleaned_Data!P268)
+(-17042.83335*Cleaned_Data!Q268)</f>
        <v>715535.89763953874</v>
      </c>
      <c r="C248" s="27">
        <f>A248-B248</f>
        <v>30044.612360461266</v>
      </c>
    </row>
    <row r="249" spans="1:3">
      <c r="A249">
        <v>676337.41</v>
      </c>
      <c r="B249">
        <f>98015.50529
+(1.202273376*Cleaned_Data!E243)
+(33.98425653*Cleaned_Data!F243)
+(2886.7347*Cleaned_Data!I243)
+(11024.99051*Cleaned_Data!L243)
+(-8375.710551*Cleaned_Data!O243)
+(4929.586703*Cleaned_Data!P243)
+(-17042.83335*Cleaned_Data!Q243)</f>
        <v>644752.09365812165</v>
      </c>
      <c r="C249" s="27">
        <f>A249-B249</f>
        <v>31585.316341878381</v>
      </c>
    </row>
    <row r="250" spans="1:3">
      <c r="A250">
        <v>665342.49</v>
      </c>
      <c r="B250">
        <f>98015.50529
+(1.202273376*Cleaned_Data!E308)
+(33.98425653*Cleaned_Data!F308)
+(2886.7347*Cleaned_Data!I308)
+(11024.99051*Cleaned_Data!L308)
+(-8375.710551*Cleaned_Data!O308)
+(4929.586703*Cleaned_Data!P308)
+(-17042.83335*Cleaned_Data!Q308)</f>
        <v>632758.47466511978</v>
      </c>
      <c r="C250" s="27">
        <f>A250-B250</f>
        <v>32584.015334880212</v>
      </c>
    </row>
    <row r="251" spans="1:3">
      <c r="A251">
        <v>696744.15</v>
      </c>
      <c r="B251">
        <f>98015.50529
+(1.202273376*Cleaned_Data!E152)
+(33.98425653*Cleaned_Data!F152)
+(2886.7347*Cleaned_Data!I152)
+(11024.99051*Cleaned_Data!L152)
+(-8375.710551*Cleaned_Data!O152)
+(4929.586703*Cleaned_Data!P152)
+(-17042.83335*Cleaned_Data!Q152)</f>
        <v>663209.29846782493</v>
      </c>
      <c r="C251" s="27">
        <f>A251-B251</f>
        <v>33534.851532175089</v>
      </c>
    </row>
    <row r="252" spans="1:3">
      <c r="A252">
        <v>647512.85</v>
      </c>
      <c r="B252">
        <f>98015.50529
+(1.202273376*Cleaned_Data!E233)
+(33.98425653*Cleaned_Data!F233)
+(2886.7347*Cleaned_Data!I233)
+(11024.99051*Cleaned_Data!L233)
+(-8375.710551*Cleaned_Data!O233)
+(4929.586703*Cleaned_Data!P233)
+(-17042.83335*Cleaned_Data!Q233)</f>
        <v>613652.10529464821</v>
      </c>
      <c r="C252" s="27">
        <f>A252-B252</f>
        <v>33860.744705351768</v>
      </c>
    </row>
    <row r="253" spans="1:3">
      <c r="A253">
        <v>711213.46</v>
      </c>
      <c r="B253">
        <f>98015.50529
+(1.202273376*Cleaned_Data!E90)
+(33.98425653*Cleaned_Data!F90)
+(2886.7347*Cleaned_Data!I90)
+(11024.99051*Cleaned_Data!L90)
+(-8375.710551*Cleaned_Data!O90)
+(4929.586703*Cleaned_Data!P90)
+(-17042.83335*Cleaned_Data!Q90)</f>
        <v>676218.73346308549</v>
      </c>
      <c r="C253" s="27">
        <f>A253-B253</f>
        <v>34994.726536914473</v>
      </c>
    </row>
    <row r="254" spans="1:3">
      <c r="A254">
        <v>767792.94</v>
      </c>
      <c r="B254">
        <f>98015.50529
+(1.202273376*Cleaned_Data!E267)
+(33.98425653*Cleaned_Data!F267)
+(2886.7347*Cleaned_Data!I267)
+(11024.99051*Cleaned_Data!L267)
+(-8375.710551*Cleaned_Data!O267)
+(4929.586703*Cleaned_Data!P267)
+(-17042.83335*Cleaned_Data!Q267)</f>
        <v>732285.39238769712</v>
      </c>
      <c r="C254" s="27">
        <f>A254-B254</f>
        <v>35507.54761230282</v>
      </c>
    </row>
    <row r="255" spans="1:3">
      <c r="A255">
        <v>658072.14</v>
      </c>
      <c r="B255">
        <f>98015.50529
+(1.202273376*Cleaned_Data!E234)
+(33.98425653*Cleaned_Data!F234)
+(2886.7347*Cleaned_Data!I234)
+(11024.99051*Cleaned_Data!L234)
+(-8375.710551*Cleaned_Data!O234)
+(4929.586703*Cleaned_Data!P234)
+(-17042.83335*Cleaned_Data!Q234)</f>
        <v>622235.35388404189</v>
      </c>
      <c r="C255" s="27">
        <f>A255-B255</f>
        <v>35836.786115958123</v>
      </c>
    </row>
    <row r="256" spans="1:3">
      <c r="A256">
        <v>715890.53</v>
      </c>
      <c r="B256">
        <f>98015.50529
+(1.202273376*Cleaned_Data!E142)
+(33.98425653*Cleaned_Data!F142)
+(2886.7347*Cleaned_Data!I142)
+(11024.99051*Cleaned_Data!L142)
+(-8375.710551*Cleaned_Data!O142)
+(4929.586703*Cleaned_Data!P142)
+(-17042.83335*Cleaned_Data!Q142)</f>
        <v>679810.11689173663</v>
      </c>
      <c r="C256" s="27">
        <f>A256-B256</f>
        <v>36080.413108263398</v>
      </c>
    </row>
    <row r="257" spans="1:3">
      <c r="A257">
        <v>720852.5</v>
      </c>
      <c r="B257">
        <f>98015.50529
+(1.202273376*Cleaned_Data!E56)
+(33.98425653*Cleaned_Data!F56)
+(2886.7347*Cleaned_Data!I56)
+(11024.99051*Cleaned_Data!L56)
+(-8375.710551*Cleaned_Data!O56)
+(4929.586703*Cleaned_Data!P56)
+(-17042.83335*Cleaned_Data!Q56)</f>
        <v>684531.965003488</v>
      </c>
      <c r="C257" s="27">
        <f>A257-B257</f>
        <v>36320.534996511997</v>
      </c>
    </row>
    <row r="258" spans="1:3">
      <c r="A258">
        <v>529598.93999999994</v>
      </c>
      <c r="B258">
        <f>98015.50529
+(1.202273376*Cleaned_Data!E229)
+(33.98425653*Cleaned_Data!F229)
+(2886.7347*Cleaned_Data!I229)
+(11024.99051*Cleaned_Data!L229)
+(-8375.710551*Cleaned_Data!O229)
+(4929.586703*Cleaned_Data!P229)
+(-17042.83335*Cleaned_Data!Q229)</f>
        <v>492457.96187618515</v>
      </c>
      <c r="C258" s="27">
        <f>A258-B258</f>
        <v>37140.978123814799</v>
      </c>
    </row>
    <row r="259" spans="1:3">
      <c r="A259">
        <v>776992.93</v>
      </c>
      <c r="B259">
        <f>98015.50529
+(1.202273376*Cleaned_Data!E242)
+(33.98425653*Cleaned_Data!F242)
+(2886.7347*Cleaned_Data!I242)
+(11024.99051*Cleaned_Data!L242)
+(-8375.710551*Cleaned_Data!O242)
+(4929.586703*Cleaned_Data!P242)
+(-17042.83335*Cleaned_Data!Q242)</f>
        <v>739804.29439635517</v>
      </c>
      <c r="C259" s="27">
        <f>A259-B259</f>
        <v>37188.635603644885</v>
      </c>
    </row>
    <row r="260" spans="1:3">
      <c r="A260">
        <v>842157.92</v>
      </c>
      <c r="B260">
        <f>98015.50529
+(1.202273376*Cleaned_Data!E128)
+(33.98425653*Cleaned_Data!F128)
+(2886.7347*Cleaned_Data!I128)
+(11024.99051*Cleaned_Data!L128)
+(-8375.710551*Cleaned_Data!O128)
+(4929.586703*Cleaned_Data!P128)
+(-17042.83335*Cleaned_Data!Q128)</f>
        <v>804892.7844876505</v>
      </c>
      <c r="C260" s="27">
        <f>A260-B260</f>
        <v>37265.135512349545</v>
      </c>
    </row>
    <row r="261" spans="1:3">
      <c r="A261">
        <v>740102.64</v>
      </c>
      <c r="B261">
        <f>98015.50529
+(1.202273376*Cleaned_Data!E104)
+(33.98425653*Cleaned_Data!F104)
+(2886.7347*Cleaned_Data!I104)
+(11024.99051*Cleaned_Data!L104)
+(-8375.710551*Cleaned_Data!O104)
+(4929.586703*Cleaned_Data!P104)
+(-17042.83335*Cleaned_Data!Q104)</f>
        <v>702351.28985989443</v>
      </c>
      <c r="C261" s="27">
        <f>A261-B261</f>
        <v>37751.350140105584</v>
      </c>
    </row>
    <row r="262" spans="1:3">
      <c r="A262">
        <v>922168.6</v>
      </c>
      <c r="B262">
        <f>98015.50529
+(1.202273376*Cleaned_Data!E14)
+(33.98425653*Cleaned_Data!F14)
+(2886.7347*Cleaned_Data!I14)
+(11024.99051*Cleaned_Data!L14)
+(-8375.710551*Cleaned_Data!O14)
+(4929.586703*Cleaned_Data!P14)
+(-17042.83335*Cleaned_Data!Q14)</f>
        <v>883629.93888515583</v>
      </c>
      <c r="C262" s="27">
        <f>A262-B262</f>
        <v>38538.661114844144</v>
      </c>
    </row>
    <row r="263" spans="1:3">
      <c r="A263">
        <v>781955.52</v>
      </c>
      <c r="B263">
        <f>98015.50529
+(1.202273376*Cleaned_Data!E180)
+(33.98425653*Cleaned_Data!F180)
+(2886.7347*Cleaned_Data!I180)
+(11024.99051*Cleaned_Data!L180)
+(-8375.710551*Cleaned_Data!O180)
+(4929.586703*Cleaned_Data!P180)
+(-17042.83335*Cleaned_Data!Q180)</f>
        <v>743383.80632286391</v>
      </c>
      <c r="C263" s="27">
        <f>A263-B263</f>
        <v>38571.713677136111</v>
      </c>
    </row>
    <row r="264" spans="1:3">
      <c r="A264">
        <v>727227.2</v>
      </c>
      <c r="B264">
        <f>98015.50529
+(1.202273376*Cleaned_Data!E106)
+(33.98425653*Cleaned_Data!F106)
+(2886.7347*Cleaned_Data!I106)
+(11024.99051*Cleaned_Data!L106)
+(-8375.710551*Cleaned_Data!O106)
+(4929.586703*Cleaned_Data!P106)
+(-17042.83335*Cleaned_Data!Q106)</f>
        <v>687800.70705490035</v>
      </c>
      <c r="C264" s="27">
        <f>A264-B264</f>
        <v>39426.492945099599</v>
      </c>
    </row>
    <row r="265" spans="1:3">
      <c r="A265">
        <v>773815.14</v>
      </c>
      <c r="B265">
        <f>98015.50529
+(1.202273376*Cleaned_Data!E53)
+(33.98425653*Cleaned_Data!F53)
+(2886.7347*Cleaned_Data!I53)
+(11024.99051*Cleaned_Data!L53)
+(-8375.710551*Cleaned_Data!O53)
+(4929.586703*Cleaned_Data!P53)
+(-17042.83335*Cleaned_Data!Q53)</f>
        <v>733678.08051643625</v>
      </c>
      <c r="C265" s="27">
        <f>A265-B265</f>
        <v>40137.05948356376</v>
      </c>
    </row>
    <row r="266" spans="1:3">
      <c r="A266">
        <v>654317.09</v>
      </c>
      <c r="B266">
        <f>98015.50529
+(1.202273376*Cleaned_Data!E123)
+(33.98425653*Cleaned_Data!F123)
+(2886.7347*Cleaned_Data!I123)
+(11024.99051*Cleaned_Data!L123)
+(-8375.710551*Cleaned_Data!O123)
+(4929.586703*Cleaned_Data!P123)
+(-17042.83335*Cleaned_Data!Q123)</f>
        <v>613885.98005083797</v>
      </c>
      <c r="C266" s="27">
        <f>A266-B266</f>
        <v>40431.109949161997</v>
      </c>
    </row>
    <row r="267" spans="1:3">
      <c r="A267">
        <v>561597.32999999996</v>
      </c>
      <c r="B267">
        <f>98015.50529
+(1.202273376*Cleaned_Data!E275)
+(33.98425653*Cleaned_Data!F275)
+(2886.7347*Cleaned_Data!I275)
+(11024.99051*Cleaned_Data!L275)
+(-8375.710551*Cleaned_Data!O275)
+(4929.586703*Cleaned_Data!P275)
+(-17042.83335*Cleaned_Data!Q275)</f>
        <v>520660.95048491633</v>
      </c>
      <c r="C267" s="27">
        <f>A267-B267</f>
        <v>40936.379515083623</v>
      </c>
    </row>
    <row r="268" spans="1:3">
      <c r="A268">
        <v>691112.6</v>
      </c>
      <c r="B268">
        <f>98015.50529
+(1.202273376*Cleaned_Data!E79)
+(33.98425653*Cleaned_Data!F79)
+(2886.7347*Cleaned_Data!I79)
+(11024.99051*Cleaned_Data!L79)
+(-8375.710551*Cleaned_Data!O79)
+(4929.586703*Cleaned_Data!P79)
+(-17042.83335*Cleaned_Data!Q79)</f>
        <v>650030.9758359004</v>
      </c>
      <c r="C268" s="27">
        <f>A268-B268</f>
        <v>41081.624164099572</v>
      </c>
    </row>
    <row r="269" spans="1:3">
      <c r="A269">
        <v>720079.54</v>
      </c>
      <c r="B269">
        <f>98015.50529
+(1.202273376*Cleaned_Data!E256)
+(33.98425653*Cleaned_Data!F256)
+(2886.7347*Cleaned_Data!I256)
+(11024.99051*Cleaned_Data!L256)
+(-8375.710551*Cleaned_Data!O256)
+(4929.586703*Cleaned_Data!P256)
+(-17042.83335*Cleaned_Data!Q256)</f>
        <v>678750.95855794032</v>
      </c>
      <c r="C269" s="27">
        <f>A269-B269</f>
        <v>41328.581442059716</v>
      </c>
    </row>
    <row r="270" spans="1:3">
      <c r="A270">
        <v>691447.43</v>
      </c>
      <c r="B270">
        <f>98015.50529
+(1.202273376*Cleaned_Data!E198)
+(33.98425653*Cleaned_Data!F198)
+(2886.7347*Cleaned_Data!I198)
+(11024.99051*Cleaned_Data!L198)
+(-8375.710551*Cleaned_Data!O198)
+(4929.586703*Cleaned_Data!P198)
+(-17042.83335*Cleaned_Data!Q198)</f>
        <v>649883.02431709517</v>
      </c>
      <c r="C270" s="27">
        <f>A270-B270</f>
        <v>41564.405682904879</v>
      </c>
    </row>
    <row r="271" spans="1:3">
      <c r="A271">
        <v>753473.55</v>
      </c>
      <c r="B271">
        <f>98015.50529
+(1.202273376*Cleaned_Data!E95)
+(33.98425653*Cleaned_Data!F95)
+(2886.7347*Cleaned_Data!I95)
+(11024.99051*Cleaned_Data!L95)
+(-8375.710551*Cleaned_Data!O95)
+(4929.586703*Cleaned_Data!P95)
+(-17042.83335*Cleaned_Data!Q95)</f>
        <v>711228.65124588681</v>
      </c>
      <c r="C271" s="27">
        <f>A271-B271</f>
        <v>42244.898754113237</v>
      </c>
    </row>
    <row r="272" spans="1:3">
      <c r="A272">
        <v>761860.19</v>
      </c>
      <c r="B272">
        <f>98015.50529
+(1.202273376*Cleaned_Data!E65)
+(33.98425653*Cleaned_Data!F65)
+(2886.7347*Cleaned_Data!I65)
+(11024.99051*Cleaned_Data!L65)
+(-8375.710551*Cleaned_Data!O65)
+(4929.586703*Cleaned_Data!P65)
+(-17042.83335*Cleaned_Data!Q65)</f>
        <v>719605.63186979073</v>
      </c>
      <c r="C272" s="27">
        <f>A272-B272</f>
        <v>42254.558130209218</v>
      </c>
    </row>
    <row r="273" spans="1:3">
      <c r="A273">
        <v>682639.28</v>
      </c>
      <c r="B273">
        <f>98015.50529
+(1.202273376*Cleaned_Data!E144)
+(33.98425653*Cleaned_Data!F144)
+(2886.7347*Cleaned_Data!I144)
+(11024.99051*Cleaned_Data!L144)
+(-8375.710551*Cleaned_Data!O144)
+(4929.586703*Cleaned_Data!P144)
+(-17042.83335*Cleaned_Data!Q144)</f>
        <v>640169.24549265963</v>
      </c>
      <c r="C273" s="27">
        <f>A273-B273</f>
        <v>42470.034507340402</v>
      </c>
    </row>
    <row r="274" spans="1:3">
      <c r="A274">
        <v>674289.1</v>
      </c>
      <c r="B274">
        <f>98015.50529
+(1.202273376*Cleaned_Data!E218)
+(33.98425653*Cleaned_Data!F218)
+(2886.7347*Cleaned_Data!I218)
+(11024.99051*Cleaned_Data!L218)
+(-8375.710551*Cleaned_Data!O218)
+(4929.586703*Cleaned_Data!P218)
+(-17042.83335*Cleaned_Data!Q218)</f>
        <v>631817.57115412306</v>
      </c>
      <c r="C274" s="27">
        <f>A274-B274</f>
        <v>42471.528845876921</v>
      </c>
    </row>
    <row r="275" spans="1:3">
      <c r="A275">
        <v>615966.48</v>
      </c>
      <c r="B275">
        <f>98015.50529
+(1.202273376*Cleaned_Data!E63)
+(33.98425653*Cleaned_Data!F63)
+(2886.7347*Cleaned_Data!I63)
+(11024.99051*Cleaned_Data!L63)
+(-8375.710551*Cleaned_Data!O63)
+(4929.586703*Cleaned_Data!P63)
+(-17042.83335*Cleaned_Data!Q63)</f>
        <v>572859.12118205219</v>
      </c>
      <c r="C275" s="27">
        <f>A275-B275</f>
        <v>43107.358817947796</v>
      </c>
    </row>
    <row r="276" spans="1:3">
      <c r="A276">
        <v>625993.82999999996</v>
      </c>
      <c r="B276">
        <f>98015.50529
+(1.202273376*Cleaned_Data!E190)
+(33.98425653*Cleaned_Data!F190)
+(2886.7347*Cleaned_Data!I190)
+(11024.99051*Cleaned_Data!L190)
+(-8375.710551*Cleaned_Data!O190)
+(4929.586703*Cleaned_Data!P190)
+(-17042.83335*Cleaned_Data!Q190)</f>
        <v>580870.9634812345</v>
      </c>
      <c r="C276" s="27">
        <f>A276-B276</f>
        <v>45122.866518765455</v>
      </c>
    </row>
    <row r="277" spans="1:3">
      <c r="A277">
        <v>873380.02</v>
      </c>
      <c r="B277">
        <f>98015.50529
+(1.202273376*Cleaned_Data!E115)
+(33.98425653*Cleaned_Data!F115)
+(2886.7347*Cleaned_Data!I115)
+(11024.99051*Cleaned_Data!L115)
+(-8375.710551*Cleaned_Data!O115)
+(4929.586703*Cleaned_Data!P115)
+(-17042.83335*Cleaned_Data!Q115)</f>
        <v>827692.54346529371</v>
      </c>
      <c r="C277" s="27">
        <f>A277-B277</f>
        <v>45687.476534706308</v>
      </c>
    </row>
    <row r="278" spans="1:3">
      <c r="A278">
        <v>776922.17</v>
      </c>
      <c r="B278">
        <f>98015.50529
+(1.202273376*Cleaned_Data!E80)
+(33.98425653*Cleaned_Data!F80)
+(2886.7347*Cleaned_Data!I80)
+(11024.99051*Cleaned_Data!L80)
+(-8375.710551*Cleaned_Data!O80)
+(4929.586703*Cleaned_Data!P80)
+(-17042.83335*Cleaned_Data!Q80)</f>
        <v>731090.82596384652</v>
      </c>
      <c r="C278" s="27">
        <f>A278-B278</f>
        <v>45831.344036153518</v>
      </c>
    </row>
    <row r="279" spans="1:3">
      <c r="A279">
        <v>825797.91</v>
      </c>
      <c r="B279">
        <f>98015.50529
+(1.202273376*Cleaned_Data!E166)
+(33.98425653*Cleaned_Data!F166)
+(2886.7347*Cleaned_Data!I166)
+(11024.99051*Cleaned_Data!L166)
+(-8375.710551*Cleaned_Data!O166)
+(4929.586703*Cleaned_Data!P166)
+(-17042.83335*Cleaned_Data!Q166)</f>
        <v>779937.44547447923</v>
      </c>
      <c r="C279" s="27">
        <f>A279-B279</f>
        <v>45860.464525520802</v>
      </c>
    </row>
    <row r="280" spans="1:3">
      <c r="A280">
        <v>709478.39</v>
      </c>
      <c r="B280">
        <f>98015.50529
+(1.202273376*Cleaned_Data!E110)
+(33.98425653*Cleaned_Data!F110)
+(2886.7347*Cleaned_Data!I110)
+(11024.99051*Cleaned_Data!L110)
+(-8375.710551*Cleaned_Data!O110)
+(4929.586703*Cleaned_Data!P110)
+(-17042.83335*Cleaned_Data!Q110)</f>
        <v>663437.97572485765</v>
      </c>
      <c r="C280" s="27">
        <f>A280-B280</f>
        <v>46040.414275142364</v>
      </c>
    </row>
    <row r="281" spans="1:3">
      <c r="A281">
        <v>838250.32</v>
      </c>
      <c r="B281">
        <f>98015.50529
+(1.202273376*Cleaned_Data!E96)
+(33.98425653*Cleaned_Data!F96)
+(2886.7347*Cleaned_Data!I96)
+(11024.99051*Cleaned_Data!L96)
+(-8375.710551*Cleaned_Data!O96)
+(4929.586703*Cleaned_Data!P96)
+(-17042.83335*Cleaned_Data!Q96)</f>
        <v>791456.58592196694</v>
      </c>
      <c r="C281" s="27">
        <f>A281-B281</f>
        <v>46793.734078033012</v>
      </c>
    </row>
    <row r="282" spans="1:3">
      <c r="A282">
        <v>641564.6</v>
      </c>
      <c r="B282">
        <f>98015.50529
+(1.202273376*Cleaned_Data!E226)
+(33.98425653*Cleaned_Data!F226)
+(2886.7347*Cleaned_Data!I226)
+(11024.99051*Cleaned_Data!L226)
+(-8375.710551*Cleaned_Data!O226)
+(4929.586703*Cleaned_Data!P226)
+(-17042.83335*Cleaned_Data!Q226)</f>
        <v>594669.55089888105</v>
      </c>
      <c r="C282" s="27">
        <f>A282-B282</f>
        <v>46895.04910111893</v>
      </c>
    </row>
    <row r="283" spans="1:3">
      <c r="A283">
        <v>778397.97</v>
      </c>
      <c r="B283">
        <f>98015.50529
+(1.202273376*Cleaned_Data!E114)
+(33.98425653*Cleaned_Data!F114)
+(2886.7347*Cleaned_Data!I114)
+(11024.99051*Cleaned_Data!L114)
+(-8375.710551*Cleaned_Data!O114)
+(4929.586703*Cleaned_Data!P114)
+(-17042.83335*Cleaned_Data!Q114)</f>
        <v>731293.24348409101</v>
      </c>
      <c r="C283" s="27">
        <f>A283-B283</f>
        <v>47104.726515908958</v>
      </c>
    </row>
    <row r="284" spans="1:3">
      <c r="A284">
        <v>762328.31</v>
      </c>
      <c r="B284">
        <f>98015.50529
+(1.202273376*Cleaned_Data!E269)
+(33.98425653*Cleaned_Data!F269)
+(2886.7347*Cleaned_Data!I269)
+(11024.99051*Cleaned_Data!L269)
+(-8375.710551*Cleaned_Data!O269)
+(4929.586703*Cleaned_Data!P269)
+(-17042.83335*Cleaned_Data!Q269)</f>
        <v>715204.51586095104</v>
      </c>
      <c r="C284" s="27">
        <f>A284-B284</f>
        <v>47123.794139049016</v>
      </c>
    </row>
    <row r="285" spans="1:3">
      <c r="A285">
        <v>674774.09</v>
      </c>
      <c r="B285">
        <f>98015.50529
+(1.202273376*Cleaned_Data!E73)
+(33.98425653*Cleaned_Data!F73)
+(2886.7347*Cleaned_Data!I73)
+(11024.99051*Cleaned_Data!L73)
+(-8375.710551*Cleaned_Data!O73)
+(4929.586703*Cleaned_Data!P73)
+(-17042.83335*Cleaned_Data!Q73)</f>
        <v>626219.05157924606</v>
      </c>
      <c r="C285" s="27">
        <f>A285-B285</f>
        <v>48555.038420753903</v>
      </c>
    </row>
    <row r="286" spans="1:3">
      <c r="A286">
        <v>682208.01</v>
      </c>
      <c r="B286">
        <f>98015.50529
+(1.202273376*Cleaned_Data!E83)
+(33.98425653*Cleaned_Data!F83)
+(2886.7347*Cleaned_Data!I83)
+(11024.99051*Cleaned_Data!L83)
+(-8375.710551*Cleaned_Data!O83)
+(4929.586703*Cleaned_Data!P83)
+(-17042.83335*Cleaned_Data!Q83)</f>
        <v>631537.70367504086</v>
      </c>
      <c r="C286" s="27">
        <f>A286-B286</f>
        <v>50670.306324959151</v>
      </c>
    </row>
    <row r="287" spans="1:3">
      <c r="A287">
        <v>758827.64</v>
      </c>
      <c r="B287">
        <f>98015.50529
+(1.202273376*Cleaned_Data!E140)
+(33.98425653*Cleaned_Data!F140)
+(2886.7347*Cleaned_Data!I140)
+(11024.99051*Cleaned_Data!L140)
+(-8375.710551*Cleaned_Data!O140)
+(4929.586703*Cleaned_Data!P140)
+(-17042.83335*Cleaned_Data!Q140)</f>
        <v>705997.43925222394</v>
      </c>
      <c r="C287" s="27">
        <f>A287-B287</f>
        <v>52830.200747776078</v>
      </c>
    </row>
    <row r="288" spans="1:3">
      <c r="A288">
        <v>820593.93</v>
      </c>
      <c r="B288">
        <f>98015.50529
+(1.202273376*Cleaned_Data!E38)
+(33.98425653*Cleaned_Data!F38)
+(2886.7347*Cleaned_Data!I38)
+(11024.99051*Cleaned_Data!L38)
+(-8375.710551*Cleaned_Data!O38)
+(4929.586703*Cleaned_Data!P38)
+(-17042.83335*Cleaned_Data!Q38)</f>
        <v>766680.22837912117</v>
      </c>
      <c r="C288" s="27">
        <f>A288-B288</f>
        <v>53913.701620878885</v>
      </c>
    </row>
    <row r="289" spans="1:3">
      <c r="A289">
        <v>635181.35</v>
      </c>
      <c r="B289">
        <f>98015.50529
+(1.202273376*Cleaned_Data!E102)
+(33.98425653*Cleaned_Data!F102)
+(2886.7347*Cleaned_Data!I102)
+(11024.99051*Cleaned_Data!L102)
+(-8375.710551*Cleaned_Data!O102)
+(4929.586703*Cleaned_Data!P102)
+(-17042.83335*Cleaned_Data!Q102)</f>
        <v>580923.23766560981</v>
      </c>
      <c r="C289" s="27">
        <f>A289-B289</f>
        <v>54258.112334390171</v>
      </c>
    </row>
    <row r="290" spans="1:3">
      <c r="A290">
        <v>776110.32</v>
      </c>
      <c r="B290">
        <f>98015.50529
+(1.202273376*Cleaned_Data!E261)
+(33.98425653*Cleaned_Data!F261)
+(2886.7347*Cleaned_Data!I261)
+(11024.99051*Cleaned_Data!L261)
+(-8375.710551*Cleaned_Data!O261)
+(4929.586703*Cleaned_Data!P261)
+(-17042.83335*Cleaned_Data!Q261)</f>
        <v>721257.30802052037</v>
      </c>
      <c r="C290" s="27">
        <f>A290-B290</f>
        <v>54853.011979479576</v>
      </c>
    </row>
    <row r="291" spans="1:3">
      <c r="A291">
        <v>870937.4</v>
      </c>
      <c r="B291">
        <f>98015.50529
+(1.202273376*Cleaned_Data!E231)
+(33.98425653*Cleaned_Data!F231)
+(2886.7347*Cleaned_Data!I231)
+(11024.99051*Cleaned_Data!L231)
+(-8375.710551*Cleaned_Data!O231)
+(4929.586703*Cleaned_Data!P231)
+(-17042.83335*Cleaned_Data!Q231)</f>
        <v>815183.85257806606</v>
      </c>
      <c r="C291" s="27">
        <f>A291-B291</f>
        <v>55753.547421933967</v>
      </c>
    </row>
    <row r="292" spans="1:3">
      <c r="A292">
        <v>673348.56</v>
      </c>
      <c r="B292">
        <f>98015.50529
+(1.202273376*Cleaned_Data!E220)
+(33.98425653*Cleaned_Data!F220)
+(2886.7347*Cleaned_Data!I220)
+(11024.99051*Cleaned_Data!L220)
+(-8375.710551*Cleaned_Data!O220)
+(4929.586703*Cleaned_Data!P220)
+(-17042.83335*Cleaned_Data!Q220)</f>
        <v>614742.80799388408</v>
      </c>
      <c r="C292" s="27">
        <f>A292-B292</f>
        <v>58605.752006115974</v>
      </c>
    </row>
    <row r="293" spans="1:3">
      <c r="A293">
        <v>749559.71</v>
      </c>
      <c r="B293">
        <f>98015.50529
+(1.202273376*Cleaned_Data!E62)
+(33.98425653*Cleaned_Data!F62)
+(2886.7347*Cleaned_Data!I62)
+(11024.99051*Cleaned_Data!L62)
+(-8375.710551*Cleaned_Data!O62)
+(4929.586703*Cleaned_Data!P62)
+(-17042.83335*Cleaned_Data!Q62)</f>
        <v>690089.72935212054</v>
      </c>
      <c r="C293" s="27">
        <f>A293-B293</f>
        <v>59469.98064787942</v>
      </c>
    </row>
    <row r="294" spans="1:3">
      <c r="A294">
        <v>780580.95</v>
      </c>
      <c r="B294">
        <f>98015.50529
+(1.202273376*Cleaned_Data!E305)
+(33.98425653*Cleaned_Data!F305)
+(2886.7347*Cleaned_Data!I305)
+(11024.99051*Cleaned_Data!L305)
+(-8375.710551*Cleaned_Data!O305)
+(4929.586703*Cleaned_Data!P305)
+(-17042.83335*Cleaned_Data!Q305)</f>
        <v>720973.69494620606</v>
      </c>
      <c r="C294" s="27">
        <f>A294-B294</f>
        <v>59607.255053793895</v>
      </c>
    </row>
    <row r="295" spans="1:3">
      <c r="A295">
        <v>739374.56</v>
      </c>
      <c r="B295">
        <f>98015.50529
+(1.202273376*Cleaned_Data!E271)
+(33.98425653*Cleaned_Data!F271)
+(2886.7347*Cleaned_Data!I271)
+(11024.99051*Cleaned_Data!L271)
+(-8375.710551*Cleaned_Data!O271)
+(4929.586703*Cleaned_Data!P271)
+(-17042.83335*Cleaned_Data!Q271)</f>
        <v>677717.62760137883</v>
      </c>
      <c r="C295" s="27">
        <f>A295-B295</f>
        <v>61656.932398621226</v>
      </c>
    </row>
    <row r="296" spans="1:3">
      <c r="A296">
        <v>677640.65</v>
      </c>
      <c r="B296">
        <f>98015.50529
+(1.202273376*Cleaned_Data!E264)
+(33.98425653*Cleaned_Data!F264)
+(2886.7347*Cleaned_Data!I264)
+(11024.99051*Cleaned_Data!L264)
+(-8375.710551*Cleaned_Data!O264)
+(4929.586703*Cleaned_Data!P264)
+(-17042.83335*Cleaned_Data!Q264)</f>
        <v>614388.61177761678</v>
      </c>
      <c r="C296" s="27">
        <f>A296-B296</f>
        <v>63252.038222383242</v>
      </c>
    </row>
    <row r="297" spans="1:3">
      <c r="A297">
        <v>765906.95</v>
      </c>
      <c r="B297">
        <f>98015.50529
+(1.202273376*Cleaned_Data!E188)
+(33.98425653*Cleaned_Data!F188)
+(2886.7347*Cleaned_Data!I188)
+(11024.99051*Cleaned_Data!L188)
+(-8375.710551*Cleaned_Data!O188)
+(4929.586703*Cleaned_Data!P188)
+(-17042.83335*Cleaned_Data!Q188)</f>
        <v>702022.68698643427</v>
      </c>
      <c r="C297" s="27">
        <f>A297-B297</f>
        <v>63884.26301356568</v>
      </c>
    </row>
    <row r="298" spans="1:3">
      <c r="A298">
        <v>898031.04</v>
      </c>
      <c r="B298">
        <f>98015.50529
+(1.202273376*Cleaned_Data!E181)
+(33.98425653*Cleaned_Data!F181)
+(2886.7347*Cleaned_Data!I181)
+(11024.99051*Cleaned_Data!L181)
+(-8375.710551*Cleaned_Data!O181)
+(4929.586703*Cleaned_Data!P181)
+(-17042.83335*Cleaned_Data!Q181)</f>
        <v>831706.08248581656</v>
      </c>
      <c r="C298" s="27">
        <f>A298-B298</f>
        <v>66324.957514183479</v>
      </c>
    </row>
    <row r="299" spans="1:3">
      <c r="A299">
        <v>620973.03</v>
      </c>
      <c r="B299">
        <f>98015.50529
+(1.202273376*Cleaned_Data!E161)
+(33.98425653*Cleaned_Data!F161)
+(2886.7347*Cleaned_Data!I161)
+(11024.99051*Cleaned_Data!L161)
+(-8375.710551*Cleaned_Data!O161)
+(4929.586703*Cleaned_Data!P161)
+(-17042.83335*Cleaned_Data!Q161)</f>
        <v>553184.37577423826</v>
      </c>
      <c r="C299" s="27">
        <f>A299-B299</f>
        <v>67788.654225761769</v>
      </c>
    </row>
    <row r="300" spans="1:3">
      <c r="A300">
        <v>723305.11</v>
      </c>
      <c r="B300">
        <f>98015.50529
+(1.202273376*Cleaned_Data!E235)
+(33.98425653*Cleaned_Data!F235)
+(2886.7347*Cleaned_Data!I235)
+(11024.99051*Cleaned_Data!L235)
+(-8375.710551*Cleaned_Data!O235)
+(4929.586703*Cleaned_Data!P235)
+(-17042.83335*Cleaned_Data!Q235)</f>
        <v>654563.53499249707</v>
      </c>
      <c r="C300" s="27">
        <f>A300-B300</f>
        <v>68741.575007502921</v>
      </c>
    </row>
    <row r="301" spans="1:3">
      <c r="A301">
        <v>795464.47</v>
      </c>
      <c r="B301">
        <f>98015.50529
+(1.202273376*Cleaned_Data!E207)
+(33.98425653*Cleaned_Data!F207)
+(2886.7347*Cleaned_Data!I207)
+(11024.99051*Cleaned_Data!L207)
+(-8375.710551*Cleaned_Data!O207)
+(4929.586703*Cleaned_Data!P207)
+(-17042.83335*Cleaned_Data!Q207)</f>
        <v>726317.38256538718</v>
      </c>
      <c r="C301" s="27">
        <f>A301-B301</f>
        <v>69147.087434612797</v>
      </c>
    </row>
    <row r="302" spans="1:3">
      <c r="A302">
        <v>910791.94</v>
      </c>
      <c r="B302">
        <f>98015.50529
+(1.202273376*Cleaned_Data!E13)
+(33.98425653*Cleaned_Data!F13)
+(2886.7347*Cleaned_Data!I13)
+(11024.99051*Cleaned_Data!L13)
+(-8375.710551*Cleaned_Data!O13)
+(4929.586703*Cleaned_Data!P13)
+(-17042.83335*Cleaned_Data!Q13)</f>
        <v>841146.82924657501</v>
      </c>
      <c r="C302" s="27">
        <f>A302-B302</f>
        <v>69645.110753424931</v>
      </c>
    </row>
    <row r="303" spans="1:3">
      <c r="A303">
        <v>735786.64</v>
      </c>
      <c r="B303">
        <f>98015.50529
+(1.202273376*Cleaned_Data!E201)
+(33.98425653*Cleaned_Data!F201)
+(2886.7347*Cleaned_Data!I201)
+(11024.99051*Cleaned_Data!L201)
+(-8375.710551*Cleaned_Data!O201)
+(4929.586703*Cleaned_Data!P201)
+(-17042.83335*Cleaned_Data!Q201)</f>
        <v>665637.82898646686</v>
      </c>
      <c r="C303" s="27">
        <f>A303-B303</f>
        <v>70148.811013533152</v>
      </c>
    </row>
    <row r="304" spans="1:3">
      <c r="A304">
        <v>778298.88</v>
      </c>
      <c r="B304">
        <f>98015.50529
+(1.202273376*Cleaned_Data!E163)
+(33.98425653*Cleaned_Data!F163)
+(2886.7347*Cleaned_Data!I163)
+(11024.99051*Cleaned_Data!L163)
+(-8375.710551*Cleaned_Data!O163)
+(4929.586703*Cleaned_Data!P163)
+(-17042.83335*Cleaned_Data!Q163)</f>
        <v>707797.57121181767</v>
      </c>
      <c r="C304" s="27">
        <f>A304-B304</f>
        <v>70501.30878818233</v>
      </c>
    </row>
    <row r="305" spans="1:3">
      <c r="A305">
        <v>820519.04</v>
      </c>
      <c r="B305">
        <f>98015.50529
+(1.202273376*Cleaned_Data!E119)
+(33.98425653*Cleaned_Data!F119)
+(2886.7347*Cleaned_Data!I119)
+(11024.99051*Cleaned_Data!L119)
+(-8375.710551*Cleaned_Data!O119)
+(4929.586703*Cleaned_Data!P119)
+(-17042.83335*Cleaned_Data!Q119)</f>
        <v>748192.98140111368</v>
      </c>
      <c r="C305" s="27">
        <f>A305-B305</f>
        <v>72326.05859888636</v>
      </c>
    </row>
    <row r="306" spans="1:3">
      <c r="A306">
        <v>735509.4</v>
      </c>
      <c r="B306">
        <f>98015.50529
+(1.202273376*Cleaned_Data!E99)
+(33.98425653*Cleaned_Data!F99)
+(2886.7347*Cleaned_Data!I99)
+(11024.99051*Cleaned_Data!L99)
+(-8375.710551*Cleaned_Data!O99)
+(4929.586703*Cleaned_Data!P99)
+(-17042.83335*Cleaned_Data!Q99)</f>
        <v>662910.22244958067</v>
      </c>
      <c r="C306" s="27">
        <f>A306-B306</f>
        <v>72599.17755041935</v>
      </c>
    </row>
    <row r="307" spans="1:3">
      <c r="A307">
        <v>783582</v>
      </c>
      <c r="B307">
        <f>98015.50529
+(1.202273376*Cleaned_Data!E179)
+(33.98425653*Cleaned_Data!F179)
+(2886.7347*Cleaned_Data!I179)
+(11024.99051*Cleaned_Data!L179)
+(-8375.710551*Cleaned_Data!O179)
+(4929.586703*Cleaned_Data!P179)
+(-17042.83335*Cleaned_Data!Q179)</f>
        <v>709178.88153499435</v>
      </c>
      <c r="C307" s="27">
        <f>A307-B307</f>
        <v>74403.118465005653</v>
      </c>
    </row>
    <row r="308" spans="1:3">
      <c r="A308">
        <v>788087.68</v>
      </c>
      <c r="B308">
        <f>98015.50529
+(1.202273376*Cleaned_Data!E76)
+(33.98425653*Cleaned_Data!F76)
+(2886.7347*Cleaned_Data!I76)
+(11024.99051*Cleaned_Data!L76)
+(-8375.710551*Cleaned_Data!O76)
+(4929.586703*Cleaned_Data!P76)
+(-17042.83335*Cleaned_Data!Q76)</f>
        <v>712765.18310555734</v>
      </c>
      <c r="C308" s="27">
        <f>A308-B308</f>
        <v>75322.496894442709</v>
      </c>
    </row>
    <row r="309" spans="1:3">
      <c r="A309">
        <v>724216.07</v>
      </c>
      <c r="B309">
        <f>98015.50529
+(1.202273376*Cleaned_Data!E160)
+(33.98425653*Cleaned_Data!F160)
+(2886.7347*Cleaned_Data!I160)
+(11024.99051*Cleaned_Data!L160)
+(-8375.710551*Cleaned_Data!O160)
+(4929.586703*Cleaned_Data!P160)
+(-17042.83335*Cleaned_Data!Q160)</f>
        <v>648151.22514985816</v>
      </c>
      <c r="C309" s="27">
        <f>A309-B309</f>
        <v>76064.844850141788</v>
      </c>
    </row>
    <row r="310" spans="1:3">
      <c r="A310">
        <v>914544.17</v>
      </c>
      <c r="B310">
        <f>98015.50529
+(1.202273376*Cleaned_Data!E126)
+(33.98425653*Cleaned_Data!F126)
+(2886.7347*Cleaned_Data!I126)
+(11024.99051*Cleaned_Data!L126)
+(-8375.710551*Cleaned_Data!O126)
+(4929.586703*Cleaned_Data!P126)
+(-17042.83335*Cleaned_Data!Q126)</f>
        <v>837476.06270670495</v>
      </c>
      <c r="C310" s="27">
        <f>A310-B310</f>
        <v>77068.107293295092</v>
      </c>
    </row>
    <row r="311" spans="1:3">
      <c r="A311">
        <v>850164.26</v>
      </c>
      <c r="B311">
        <f>98015.50529
+(1.202273376*Cleaned_Data!E9)
+(33.98425653*Cleaned_Data!F9)
+(2886.7347*Cleaned_Data!I9)
+(11024.99051*Cleaned_Data!L9)
+(-8375.710551*Cleaned_Data!O9)
+(4929.586703*Cleaned_Data!P9)
+(-17042.83335*Cleaned_Data!Q9)</f>
        <v>773018.24915131356</v>
      </c>
      <c r="C311" s="27">
        <f>A311-B311</f>
        <v>77146.010848686448</v>
      </c>
    </row>
    <row r="312" spans="1:3">
      <c r="A312">
        <v>795153.84</v>
      </c>
      <c r="B312">
        <f>98015.50529
+(1.202273376*Cleaned_Data!E108)
+(33.98425653*Cleaned_Data!F108)
+(2886.7347*Cleaned_Data!I108)
+(11024.99051*Cleaned_Data!L108)
+(-8375.710551*Cleaned_Data!O108)
+(4929.586703*Cleaned_Data!P108)
+(-17042.83335*Cleaned_Data!Q108)</f>
        <v>717649.37470718054</v>
      </c>
      <c r="C312" s="27">
        <f>A312-B312</f>
        <v>77504.465292819426</v>
      </c>
    </row>
    <row r="313" spans="1:3">
      <c r="A313">
        <v>840108.12</v>
      </c>
      <c r="B313">
        <f>98015.50529
+(1.202273376*Cleaned_Data!E258)
+(33.98425653*Cleaned_Data!F258)
+(2886.7347*Cleaned_Data!I258)
+(11024.99051*Cleaned_Data!L258)
+(-8375.710551*Cleaned_Data!O258)
+(4929.586703*Cleaned_Data!P258)
+(-17042.83335*Cleaned_Data!Q258)</f>
        <v>759764.79753028019</v>
      </c>
      <c r="C313" s="27">
        <f>A313-B313</f>
        <v>80343.322469719802</v>
      </c>
    </row>
    <row r="314" spans="1:3">
      <c r="A314">
        <v>661927.14</v>
      </c>
      <c r="B314">
        <f>98015.50529
+(1.202273376*Cleaned_Data!E70)
+(33.98425653*Cleaned_Data!F70)
+(2886.7347*Cleaned_Data!I70)
+(11024.99051*Cleaned_Data!L70)
+(-8375.710551*Cleaned_Data!O70)
+(4929.586703*Cleaned_Data!P70)
+(-17042.83335*Cleaned_Data!Q70)</f>
        <v>581445.21269727219</v>
      </c>
      <c r="C314" s="27">
        <f>A314-B314</f>
        <v>80481.927302727825</v>
      </c>
    </row>
    <row r="315" spans="1:3">
      <c r="A315">
        <v>657429.18000000005</v>
      </c>
      <c r="B315">
        <f>98015.50529
+(1.202273376*Cleaned_Data!E44)
+(33.98425653*Cleaned_Data!F44)
+(2886.7347*Cleaned_Data!I44)
+(11024.99051*Cleaned_Data!L44)
+(-8375.710551*Cleaned_Data!O44)
+(4929.586703*Cleaned_Data!P44)
+(-17042.83335*Cleaned_Data!Q44)</f>
        <v>575717.55030637514</v>
      </c>
      <c r="C315" s="27">
        <f>A315-B315</f>
        <v>81711.629693624913</v>
      </c>
    </row>
    <row r="316" spans="1:3">
      <c r="A316">
        <v>727241.86</v>
      </c>
      <c r="B316">
        <f>98015.50529
+(1.202273376*Cleaned_Data!E84)
+(33.98425653*Cleaned_Data!F84)
+(2886.7347*Cleaned_Data!I84)
+(11024.99051*Cleaned_Data!L84)
+(-8375.710551*Cleaned_Data!O84)
+(4929.586703*Cleaned_Data!P84)
+(-17042.83335*Cleaned_Data!Q84)</f>
        <v>645430.65455944859</v>
      </c>
      <c r="C316" s="27">
        <f>A316-B316</f>
        <v>81811.205440551392</v>
      </c>
    </row>
    <row r="317" spans="1:3">
      <c r="A317">
        <v>763162.45</v>
      </c>
      <c r="B317">
        <f>98015.50529
+(1.202273376*Cleaned_Data!E299)
+(33.98425653*Cleaned_Data!F299)
+(2886.7347*Cleaned_Data!I299)
+(11024.99051*Cleaned_Data!L299)
+(-8375.710551*Cleaned_Data!O299)
+(4929.586703*Cleaned_Data!P299)
+(-17042.83335*Cleaned_Data!Q299)</f>
        <v>679410.17187670129</v>
      </c>
      <c r="C317" s="27">
        <f>A317-B317</f>
        <v>83752.27812329866</v>
      </c>
    </row>
    <row r="318" spans="1:3">
      <c r="A318">
        <v>930581.7</v>
      </c>
      <c r="B318">
        <f>98015.50529
+(1.202273376*Cleaned_Data!E10)
+(33.98425653*Cleaned_Data!F10)
+(2886.7347*Cleaned_Data!I10)
+(11024.99051*Cleaned_Data!L10)
+(-8375.710551*Cleaned_Data!O10)
+(4929.586703*Cleaned_Data!P10)
+(-17042.83335*Cleaned_Data!Q10)</f>
        <v>846782.55428006139</v>
      </c>
      <c r="C318" s="27">
        <f>A318-B318</f>
        <v>83799.145719938562</v>
      </c>
    </row>
    <row r="319" spans="1:3">
      <c r="A319">
        <v>686737.87</v>
      </c>
      <c r="B319">
        <f>98015.50529
+(1.202273376*Cleaned_Data!E277)
+(33.98425653*Cleaned_Data!F277)
+(2886.7347*Cleaned_Data!I277)
+(11024.99051*Cleaned_Data!L277)
+(-8375.710551*Cleaned_Data!O277)
+(4929.586703*Cleaned_Data!P277)
+(-17042.83335*Cleaned_Data!Q277)</f>
        <v>601414.47407052002</v>
      </c>
      <c r="C319" s="27">
        <f>A319-B319</f>
        <v>85323.395929479972</v>
      </c>
    </row>
    <row r="320" spans="1:3">
      <c r="A320">
        <v>799046.94</v>
      </c>
      <c r="B320">
        <f>98015.50529
+(1.202273376*Cleaned_Data!E255)
+(33.98425653*Cleaned_Data!F255)
+(2886.7347*Cleaned_Data!I255)
+(11024.99051*Cleaned_Data!L255)
+(-8375.710551*Cleaned_Data!O255)
+(4929.586703*Cleaned_Data!P255)
+(-17042.83335*Cleaned_Data!Q255)</f>
        <v>706026.95808758342</v>
      </c>
      <c r="C320" s="27">
        <f>A320-B320</f>
        <v>93019.981912416522</v>
      </c>
    </row>
    <row r="321" spans="1:3">
      <c r="A321">
        <v>813316.71</v>
      </c>
      <c r="B321">
        <f>98015.50529
+(1.202273376*Cleaned_Data!E292)
+(33.98425653*Cleaned_Data!F292)
+(2886.7347*Cleaned_Data!I292)
+(11024.99051*Cleaned_Data!L292)
+(-8375.710551*Cleaned_Data!O292)
+(4929.586703*Cleaned_Data!P292)
+(-17042.83335*Cleaned_Data!Q292)</f>
        <v>718839.53258812486</v>
      </c>
      <c r="C321" s="27">
        <f>A321-B321</f>
        <v>94477.177411875105</v>
      </c>
    </row>
    <row r="322" spans="1:3">
      <c r="A322">
        <v>787715.51</v>
      </c>
      <c r="B322">
        <f>98015.50529
+(1.202273376*Cleaned_Data!E203)
+(33.98425653*Cleaned_Data!F203)
+(2886.7347*Cleaned_Data!I203)
+(11024.99051*Cleaned_Data!L203)
+(-8375.710551*Cleaned_Data!O203)
+(4929.586703*Cleaned_Data!P203)
+(-17042.83335*Cleaned_Data!Q203)</f>
        <v>687127.02456608077</v>
      </c>
      <c r="C322" s="27">
        <f>A322-B322</f>
        <v>100588.48543391924</v>
      </c>
    </row>
    <row r="323" spans="1:3">
      <c r="A323">
        <v>625514.04</v>
      </c>
      <c r="B323">
        <f>98015.50529
+(1.202273376*Cleaned_Data!E105)
+(33.98425653*Cleaned_Data!F105)
+(2886.7347*Cleaned_Data!I105)
+(11024.99051*Cleaned_Data!L105)
+(-8375.710551*Cleaned_Data!O105)
+(4929.586703*Cleaned_Data!P105)
+(-17042.83335*Cleaned_Data!Q105)</f>
        <v>522797.2078283967</v>
      </c>
      <c r="C323" s="27">
        <f>A323-B323</f>
        <v>102716.83217160334</v>
      </c>
    </row>
    <row r="324" spans="1:3">
      <c r="A324">
        <v>713611.16</v>
      </c>
      <c r="B324">
        <f>98015.50529
+(1.202273376*Cleaned_Data!E113)
+(33.98425653*Cleaned_Data!F113)
+(2886.7347*Cleaned_Data!I113)
+(11024.99051*Cleaned_Data!L113)
+(-8375.710551*Cleaned_Data!O113)
+(4929.586703*Cleaned_Data!P113)
+(-17042.83335*Cleaned_Data!Q113)</f>
        <v>585781.2957901319</v>
      </c>
      <c r="C324" s="27">
        <f>A324-B324</f>
        <v>127829.86420986813</v>
      </c>
    </row>
  </sheetData>
  <autoFilter ref="A4:C324" xr:uid="{FAE40FA0-3EE1-4095-AA4E-B37795B69DF4}"/>
  <sortState xmlns:xlrd2="http://schemas.microsoft.com/office/spreadsheetml/2017/richdata2" ref="A5:C324">
    <sortCondition ref="C4:C324"/>
  </sortState>
  <mergeCells count="4">
    <mergeCell ref="E24:K34"/>
    <mergeCell ref="A1:C2"/>
    <mergeCell ref="F3:H4"/>
    <mergeCell ref="F14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Marketing_Regression</vt:lpstr>
      <vt:lpstr>Simple_Regression</vt:lpstr>
      <vt:lpstr>Cleaned_Data</vt:lpstr>
      <vt:lpstr>Dummy_Variables</vt:lpstr>
      <vt:lpstr>Multiple_Regression</vt:lpstr>
      <vt:lpstr>Regression_Input_Data</vt:lpstr>
      <vt:lpstr>Predictions_Residuals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2026-06-21T13:11:35Z</dcterms:created>
  <dcterms:modified xsi:type="dcterms:W3CDTF">2026-06-22T06:47:58Z</dcterms:modified>
</cp:coreProperties>
</file>